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TNPutro\Downloads\"/>
    </mc:Choice>
  </mc:AlternateContent>
  <xr:revisionPtr revIDLastSave="0" documentId="13_ncr:1_{0626545F-BA3D-4E5B-9D5A-FD89B5B559AD}" xr6:coauthVersionLast="47" xr6:coauthVersionMax="47" xr10:uidLastSave="{00000000-0000-0000-0000-000000000000}"/>
  <bookViews>
    <workbookView xWindow="-108" yWindow="-108" windowWidth="23256" windowHeight="12456" activeTab="7" xr2:uid="{77262BF2-3D8C-4A19-AC3E-11E4E97E764F}"/>
  </bookViews>
  <sheets>
    <sheet name="Penawaran PrEP" sheetId="33" r:id="rId1"/>
    <sheet name="Daftar Pasien Baru" sheetId="34" r:id="rId2"/>
    <sheet name="Daftar Kunjungan" sheetId="35" state="hidden" r:id="rId3"/>
    <sheet name="Kunjungan Memulai PrEP" sheetId="36" r:id="rId4"/>
    <sheet name="Kunjungan rutin PrEP" sheetId="37" r:id="rId5"/>
    <sheet name="Kunjungan Insidental" sheetId="38" state="hidden" r:id="rId6"/>
    <sheet name="Pemberian Obat" sheetId="39" state="hidden" r:id="rId7"/>
    <sheet name="Menu" sheetId="40" r:id="rId8"/>
    <sheet name="admin_prep" sheetId="41" state="hidden" r:id="rId9"/>
    <sheet name="bat" sheetId="42" state="hidden" r:id="rId10"/>
    <sheet name="validasi" sheetId="1" state="hidden" r:id="rId11"/>
  </sheets>
  <functionGroups builtInGroupCount="19"/>
  <definedNames>
    <definedName name="_xlnm._FilterDatabase" localSheetId="2" hidden="1">'Daftar Kunjungan'!$A$3:$H$8</definedName>
    <definedName name="_xlnm._FilterDatabase" localSheetId="1" hidden="1">'Daftar Pasien Baru'!$A$3:$M$12</definedName>
    <definedName name="_xlnm._FilterDatabase" localSheetId="5" hidden="1">'Kunjungan Insidental'!$A$3:$BE$3</definedName>
    <definedName name="_xlnm._FilterDatabase" localSheetId="3" hidden="1">'Kunjungan Memulai PrEP'!$A$3:$AW$8</definedName>
    <definedName name="_xlnm._FilterDatabase" localSheetId="4" hidden="1">'Kunjungan rutin PrEP'!$A$3:$BG$3</definedName>
    <definedName name="_xlnm._FilterDatabase" localSheetId="6" hidden="1">'Pemberian Obat'!$A$3:$H$3</definedName>
    <definedName name="_xlnm._FilterDatabase" localSheetId="0" hidden="1">'Penawaran PrEP'!$A$3:$H$12</definedName>
    <definedName name="app_name">Menu!$D$2</definedName>
    <definedName name="app_version">admin_prep!$G$13</definedName>
    <definedName name="data_1">OFFSET('Penawaran PrEP'!$A$4,0,0,COUNTA('Penawaran PrEP'!$A:$A)-1,8)</definedName>
    <definedName name="data_2">OFFSET('Daftar Pasien Baru'!$A$4,0,0,COUNTA('Daftar Pasien Baru'!$A:$A)-1,12)</definedName>
    <definedName name="data_3">OFFSET('Daftar Kunjungan'!$A$4,0,0,COUNTA('Daftar Kunjungan'!$A:$A)-1,7)</definedName>
    <definedName name="data_4">OFFSET('Kunjungan Memulai PrEP'!$A$4,0,0,COUNTA('Kunjungan Memulai PrEP'!$A:$A)-1,49)</definedName>
    <definedName name="data_5">OFFSET('Kunjungan rutin PrEP'!$A$4,0,0,COUNTA('Kunjungan rutin PrEP'!$A:$A)-1,59)</definedName>
    <definedName name="data_6">OFFSET('Kunjungan Insidental'!$A$4,0,0,COUNTA('Kunjungan Insidental'!$A:$A)-1,59)</definedName>
    <definedName name="data_7">OFFSET('Pemberian Obat'!$A$4,0,0,COUNTA('Pemberian Obat'!$A:$A)-1,8)</definedName>
    <definedName name="day_2digit">admin_prep!$D$2:$E$32</definedName>
    <definedName name="format_date">admin_prep!$W$2</definedName>
    <definedName name="format_date_chrome">admin_prep!$W$3</definedName>
    <definedName name="hasil_hiv">admin_prep!$AD$2:$AD$4</definedName>
    <definedName name="hasil_sifilis">admin_prep!$AN$2:$AN$3</definedName>
    <definedName name="informasi_prep">admin_prep!$AB$2:$AB$10</definedName>
    <definedName name="jenis_kelamin">admin_prep!$I$2:$I$3</definedName>
    <definedName name="jml_data_cek_valid">'Daftar Pasien Baru'!$P$2</definedName>
    <definedName name="jml_data_cek_valid_insi">'Kunjungan Insidental'!$A$1</definedName>
    <definedName name="jml_data_cek_valid_kunj">'Daftar Kunjungan'!$AJ$1</definedName>
    <definedName name="jml_data_cek_valid_mulai">'Kunjungan Memulai PrEP'!$A$1</definedName>
    <definedName name="jml_data_cek_valid_obat">'Pemberian Obat'!$A$1</definedName>
    <definedName name="jml_data_cek_valid_rutin">'Kunjungan rutin PrEP'!$A$1</definedName>
    <definedName name="jml_data_cek_valid_tawar">'Penawaran PrEP'!$A$1</definedName>
    <definedName name="jml_data_tidak_valid">'Daftar Pasien Baru'!$P$1</definedName>
    <definedName name="jml_data_tidak_valid_insi">'Kunjungan Insidental'!$DZ$1</definedName>
    <definedName name="jml_data_tidak_valid_kunj">'Daftar Kunjungan'!$AI$1</definedName>
    <definedName name="jml_data_tidak_valid_mulai">'Kunjungan Memulai PrEP'!$BY$1</definedName>
    <definedName name="jml_data_tidak_valid_rutin">'Kunjungan rutin PrEP'!$CX$1</definedName>
    <definedName name="jml_data_tidak_valid_tawar">'Penawaran PrEP'!$Z$1</definedName>
    <definedName name="jml_domisili_tidak_valid">'Daftar Pasien Baru'!#REF!</definedName>
    <definedName name="jml_email_tidak_valid">'Daftar Pasien Baru'!#REF!</definedName>
    <definedName name="jml_hp_tidak_valid">'Daftar Pasien Baru'!#REF!</definedName>
    <definedName name="jml_jk_tidak_valid">'Daftar Pasien Baru'!#REF!</definedName>
    <definedName name="jml_klp_risiko_tidak_valid">'Daftar Pasien Baru'!#REF!</definedName>
    <definedName name="jml_kunj_keperluan_tidak_valid">'Daftar Kunjungan'!$AG$1</definedName>
    <definedName name="jml_kunj_nik_tidak_valid">'Daftar Kunjungan'!$AF$1</definedName>
    <definedName name="jml_kunj_tanggal_tidak_valid">'Daftar Kunjungan'!$AH$1</definedName>
    <definedName name="jml_nama_tidak_valid">'Daftar Pasien Baru'!#REF!</definedName>
    <definedName name="jml_nik_tidak_valid">'Daftar Pasien Baru'!#REF!</definedName>
    <definedName name="jml_tempat_lahir_tidak_valid">'Daftar Pasien Baru'!#REF!</definedName>
    <definedName name="jml_tgl_lahir_tidak_valid">'Daftar Pasien Baru'!#REF!</definedName>
    <definedName name="kehamilan">admin_prep!$AP$2:$AP$3</definedName>
    <definedName name="kepatuhan">admin_prep!$AS$2:$AS$3</definedName>
    <definedName name="keperluan_kunjungan">admin_prep!$K$2:$K$4</definedName>
    <definedName name="klp_risiko">admin_prep!$G$2:$G$7</definedName>
    <definedName name="last_used_row">'Kunjungan Memulai PrEP'!$I$1</definedName>
    <definedName name="last_used_row_daftar">'Daftar Pasien Baru'!$G$1</definedName>
    <definedName name="last_used_row_insi">'Kunjungan Insidental'!$G$1</definedName>
    <definedName name="last_used_row_kunj">'Daftar Kunjungan'!$G$1</definedName>
    <definedName name="last_used_row_obat">'Pemberian Obat'!$G$1</definedName>
    <definedName name="last_used_row_rutin">'Kunjungan rutin PrEP'!$J$1</definedName>
    <definedName name="last_used_row_tawar">'Penawaran PrEP'!$G$1</definedName>
    <definedName name="menu1">Menu!$B$4</definedName>
    <definedName name="menu1_isi">Menu!$B$30:$B$46</definedName>
    <definedName name="menu2">Menu!$E$4</definedName>
    <definedName name="menu2_isi">Menu!$B$60:$B$76</definedName>
    <definedName name="menu3">Menu!$H$4</definedName>
    <definedName name="menu3_isi">Menu!$B$5:$B$21</definedName>
    <definedName name="metode_prep">admin_prep!$AH$2:$AH$3</definedName>
    <definedName name="metode_prep_kunjungan">admin_prep!$AQ$2:$AQ$3</definedName>
    <definedName name="month_2digit">admin_prep!$A$2:$B$13</definedName>
    <definedName name="penawaran_status">admin_prep!$P$2:$P$8</definedName>
    <definedName name="pernah_prep">admin_prep!$AL$2:$AL$3</definedName>
    <definedName name="rejimen_prep">admin_prep!$AM$2:$AM$3</definedName>
    <definedName name="rutin_ke">admin_prep!$AU$2:$AU$10</definedName>
    <definedName name="seks_melalui">admin_prep!$AJ$2:$AJ$4</definedName>
    <definedName name="setuju">admin_prep!$AO$2:$AO$3</definedName>
    <definedName name="simpan_final">admin_prep!$Y$2:$Y$3</definedName>
    <definedName name="status_mulai_prep">admin_prep!$AE$2:$AE$3</definedName>
    <definedName name="stop_prep">admin_prep!$AF$2:$AF$8</definedName>
    <definedName name="terakhir_prep">admin_prep!$AI$2:$AI$6</definedName>
    <definedName name="tidak_only">admin_prep!$M$3</definedName>
    <definedName name="url_prep">admin_prep!$G$11</definedName>
    <definedName name="url_siha">admin_prep!$G$12</definedName>
    <definedName name="val_insi_jml">'Kunjungan Insidental'!$B$1</definedName>
    <definedName name="val_kunj_jml">'Daftar Kunjungan'!$AD$1</definedName>
    <definedName name="val_kunj_keperluan">'Daftar Kunjungan'!$AB$1</definedName>
    <definedName name="val_kunj_nik">'Daftar Kunjungan'!$AA$1</definedName>
    <definedName name="val_kunj_tanggal">'Daftar Kunjungan'!$AC$1</definedName>
    <definedName name="val_mulai_alat_hiv">'Kunjungan Memulai PrEP'!$CM$1</definedName>
    <definedName name="val_mulai_bb">'Kunjungan Memulai PrEP'!$CD$1</definedName>
    <definedName name="val_mulai_hasil_hiv">'Kunjungan Memulai PrEP'!$CJ$1</definedName>
    <definedName name="val_mulai_iha_kondom">'Kunjungan Memulai PrEP'!$CN$1</definedName>
    <definedName name="val_mulai_iha_sakit">'Kunjungan Memulai PrEP'!$CO$1</definedName>
    <definedName name="val_mulai_ims">'Kunjungan Memulai PrEP'!$CY$1</definedName>
    <definedName name="val_mulai_info">'Kunjungan Memulai PrEP'!$CH$1</definedName>
    <definedName name="val_mulai_jml">'Kunjungan Memulai PrEP'!$B$1</definedName>
    <definedName name="val_mulai_jml_obat">'Kunjungan Memulai PrEP'!$DK$1</definedName>
    <definedName name="val_mulai_jml_sex">'Kunjungan Memulai PrEP'!$CU$1</definedName>
    <definedName name="val_mulai_jml_sex_laki">'Kunjungan Memulai PrEP'!$CV$1</definedName>
    <definedName name="val_mulai_jml_sex_per">'Kunjungan Memulai PrEP'!$CW$1</definedName>
    <definedName name="val_mulai_kembali_alasan">'Kunjungan Memulai PrEP'!$CT$1</definedName>
    <definedName name="val_mulai_kembali_metode">'Kunjungan Memulai PrEP'!$CR$1</definedName>
    <definedName name="val_mulai_kembali_waktu">'Kunjungan Memulai PrEP'!$CS$1</definedName>
    <definedName name="val_mulai_pasangan_anak">'Kunjungan Memulai PrEP'!$DE$1</definedName>
    <definedName name="val_mulai_pasangan_arv_tdk_teratur">'Kunjungan Memulai PrEP'!$DB$1</definedName>
    <definedName name="val_mulai_pasangan_hamil">'Kunjungan Memulai PrEP'!$CZ$1</definedName>
    <definedName name="val_mulai_pasangan_tdk_arv">'Kunjungan Memulai PrEP'!$DA$1</definedName>
    <definedName name="val_mulai_pasangan_tdk_vl">'Kunjungan Memulai PrEP'!$DC$1</definedName>
    <definedName name="val_mulai_pasangan_vl">'Kunjungan Memulai PrEP'!$DC$1</definedName>
    <definedName name="val_mulai_pasangan_vl_tdk_supres">'Kunjungan Memulai PrEP'!$DD$1</definedName>
    <definedName name="val_mulai_pernah_prep">'Kunjungan Memulai PrEP'!$DF$1</definedName>
    <definedName name="val_mulai_petugas">'Kunjungan Memulai PrEP'!$CB$1</definedName>
    <definedName name="val_mulai_prep_metode">'Kunjungan Memulai PrEP'!$DI$1</definedName>
    <definedName name="val_mulai_prep_rejimen">'Kunjungan Memulai PrEP'!$DJ$1</definedName>
    <definedName name="val_mulai_prep_tgl">'Kunjungan Memulai PrEP'!$DL$1</definedName>
    <definedName name="val_mulai_rata_sex">'Kunjungan Memulai PrEP'!$DH$1</definedName>
    <definedName name="val_mulai_setuju">'Kunjungan Memulai PrEP'!$CP$1</definedName>
    <definedName name="val_mulai_sex_kondom">'Kunjungan Memulai PrEP'!$CX$1</definedName>
    <definedName name="val_mulai_sex_terakhir_kondom">'Kunjungan Memulai PrEP'!$DG$1</definedName>
    <definedName name="val_mulai_sifilis">'Kunjungan Memulai PrEP'!$DN$1</definedName>
    <definedName name="val_mulai_sifilis_hasil">'Kunjungan Memulai PrEP'!$DS$1</definedName>
    <definedName name="val_mulai_sifilis_no">'Kunjungan Memulai PrEP'!$DO$1</definedName>
    <definedName name="val_mulai_sifilis_tempat">'Kunjungan Memulai PrEP'!$DP$1</definedName>
    <definedName name="val_mulai_sifilis_tgl_ambil">'Kunjungan Memulai PrEP'!$DQ$1</definedName>
    <definedName name="val_mulai_sifilis_tgl_keluar">'Kunjungan Memulai PrEP'!$DR$1</definedName>
    <definedName name="val_mulai_status">'Kunjungan Memulai PrEP'!$CQ$1</definedName>
    <definedName name="val_mulai_sumber_info">'Kunjungan Memulai PrEP'!$CI$1</definedName>
    <definedName name="val_mulai_tawar">'Kunjungan Memulai PrEP'!$CG$1</definedName>
    <definedName name="val_mulai_tb">'Kunjungan Memulai PrEP'!$CE$1</definedName>
    <definedName name="val_mulai_td">'Kunjungan Memulai PrEP'!$CF$1</definedName>
    <definedName name="val_mulai_tempat_hiv">'Kunjungan Memulai PrEP'!$CL$1</definedName>
    <definedName name="val_mulai_tgl_hiv">'Kunjungan Memulai PrEP'!$CK$1</definedName>
    <definedName name="val_mulai_tgl_kunj">'Kunjungan Memulai PrEP'!$CC$1</definedName>
    <definedName name="val_mulai_tgl_selanjutnya">'Kunjungan Memulai PrEP'!$DM$1</definedName>
    <definedName name="val_obat_jml">'Pemberian Obat'!$B$1</definedName>
    <definedName name="val_pasien_email">'Daftar Pasien Baru'!$X$1</definedName>
    <definedName name="val_pasien_jml">'Daftar Pasien Baru'!$O$1</definedName>
    <definedName name="val_rutin_jml">'Kunjungan rutin PrEP'!$B$1</definedName>
    <definedName name="val_tawar_jml">'Penawaran PrEP'!$B$1</definedName>
    <definedName name="validasi_ya">admin_prep!$M$2:$N$2</definedName>
    <definedName name="web_type">admin_prep!$W$3</definedName>
    <definedName name="ya_only">admin_prep!$M$2</definedName>
    <definedName name="ya_proses">admin_prep!$K$7:$K$10</definedName>
    <definedName name="ya_tdk">admin_prep!$AK$2:$AK$3</definedName>
    <definedName name="ya_tdk_tdktahu">admin_prep!$AK$2:$AK$4</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0" l="1"/>
  <c r="DS2" i="36"/>
  <c r="DR2" i="36"/>
  <c r="DQ2" i="36"/>
  <c r="EZ2" i="37"/>
  <c r="EY2" i="37"/>
  <c r="EX2" i="37"/>
  <c r="EW2" i="37"/>
  <c r="EV2" i="37"/>
  <c r="EU2" i="37"/>
  <c r="ET2" i="37"/>
  <c r="ES2" i="37"/>
  <c r="ER2" i="37"/>
  <c r="EP2" i="37"/>
  <c r="EN2" i="37"/>
  <c r="EM2" i="37"/>
  <c r="EL2" i="37"/>
  <c r="EI2" i="37"/>
  <c r="EH2" i="37"/>
  <c r="EC2" i="37"/>
  <c r="DY2" i="37"/>
  <c r="DX2" i="37"/>
  <c r="DW2" i="37"/>
  <c r="DV2" i="37"/>
  <c r="DU2" i="37"/>
  <c r="DS2" i="37"/>
  <c r="DR2" i="37"/>
  <c r="DQ2" i="37"/>
  <c r="DO2" i="37"/>
  <c r="DN2" i="37"/>
  <c r="DM2" i="37"/>
  <c r="DL2" i="37"/>
  <c r="DK2" i="37"/>
  <c r="DJ2" i="37"/>
  <c r="DI2" i="37"/>
  <c r="DH2" i="37"/>
  <c r="DG2" i="37"/>
  <c r="DF2" i="37"/>
  <c r="DE2" i="37"/>
  <c r="DD2" i="37"/>
  <c r="DC2" i="37"/>
  <c r="DB2" i="37"/>
  <c r="DA2" i="37"/>
  <c r="CZ2" i="37"/>
  <c r="CY2" i="37"/>
  <c r="DN2" i="36"/>
  <c r="DM2" i="36"/>
  <c r="DL2" i="36"/>
  <c r="DK2" i="36"/>
  <c r="DJ2" i="36"/>
  <c r="DI2" i="36"/>
  <c r="DH2" i="36"/>
  <c r="DG2" i="36"/>
  <c r="DF2" i="36"/>
  <c r="DE2" i="36"/>
  <c r="DD2" i="36"/>
  <c r="DC2" i="36"/>
  <c r="DB2" i="36"/>
  <c r="DA2" i="36"/>
  <c r="CZ2" i="36"/>
  <c r="CY2" i="36"/>
  <c r="CX2" i="36"/>
  <c r="CW2" i="36"/>
  <c r="CV2" i="36"/>
  <c r="CU2" i="36"/>
  <c r="CT2" i="36"/>
  <c r="CS2" i="36"/>
  <c r="CR2" i="36"/>
  <c r="CQ2" i="36"/>
  <c r="CP2" i="36"/>
  <c r="CO2" i="36"/>
  <c r="CN2" i="36"/>
  <c r="CM2" i="36"/>
  <c r="CL2" i="36"/>
  <c r="CK2" i="36"/>
  <c r="CJ2" i="36"/>
  <c r="CI2" i="36"/>
  <c r="CH2" i="36"/>
  <c r="CG2" i="36"/>
  <c r="CF2" i="36"/>
  <c r="CE2" i="36"/>
  <c r="CD2" i="36"/>
  <c r="CC2" i="36"/>
  <c r="CB2" i="36"/>
  <c r="CA2" i="36"/>
  <c r="BZ2" i="36"/>
  <c r="Z23" i="34"/>
  <c r="Y23" i="34"/>
  <c r="X23" i="34"/>
  <c r="W23" i="34"/>
  <c r="V23" i="34"/>
  <c r="U23" i="34"/>
  <c r="T23" i="34"/>
  <c r="S23" i="34"/>
  <c r="Q23" i="34"/>
  <c r="Z22" i="34"/>
  <c r="Y22" i="34"/>
  <c r="X22" i="34"/>
  <c r="W22" i="34"/>
  <c r="V22" i="34"/>
  <c r="U22" i="34"/>
  <c r="T22" i="34"/>
  <c r="S22" i="34"/>
  <c r="Q22" i="34"/>
  <c r="Z21" i="34"/>
  <c r="Y21" i="34"/>
  <c r="X21" i="34"/>
  <c r="W21" i="34"/>
  <c r="V21" i="34"/>
  <c r="U21" i="34"/>
  <c r="T21" i="34"/>
  <c r="S21" i="34"/>
  <c r="Q21" i="34"/>
  <c r="Z20" i="34"/>
  <c r="Y20" i="34"/>
  <c r="X20" i="34"/>
  <c r="W20" i="34"/>
  <c r="V20" i="34"/>
  <c r="U20" i="34"/>
  <c r="T20" i="34"/>
  <c r="S20" i="34"/>
  <c r="Q20" i="34"/>
  <c r="Z19" i="34"/>
  <c r="Y19" i="34"/>
  <c r="X19" i="34"/>
  <c r="W19" i="34"/>
  <c r="V19" i="34"/>
  <c r="U19" i="34"/>
  <c r="T19" i="34"/>
  <c r="S19" i="34"/>
  <c r="Q19" i="34"/>
  <c r="Z18" i="34"/>
  <c r="Y18" i="34"/>
  <c r="X18" i="34"/>
  <c r="W18" i="34"/>
  <c r="V18" i="34"/>
  <c r="U18" i="34"/>
  <c r="T18" i="34"/>
  <c r="S18" i="34"/>
  <c r="Q18" i="34"/>
  <c r="Z17" i="34"/>
  <c r="Y17" i="34"/>
  <c r="X17" i="34"/>
  <c r="W17" i="34"/>
  <c r="V17" i="34"/>
  <c r="U17" i="34"/>
  <c r="T17" i="34"/>
  <c r="S17" i="34"/>
  <c r="Q17" i="34"/>
  <c r="Z16" i="34"/>
  <c r="Y16" i="34"/>
  <c r="X16" i="34"/>
  <c r="W16" i="34"/>
  <c r="V16" i="34"/>
  <c r="U16" i="34"/>
  <c r="T16" i="34"/>
  <c r="S16" i="34"/>
  <c r="Q16" i="34"/>
  <c r="Z15" i="34"/>
  <c r="Y15" i="34"/>
  <c r="X15" i="34"/>
  <c r="W15" i="34"/>
  <c r="V15" i="34"/>
  <c r="U15" i="34"/>
  <c r="T15" i="34"/>
  <c r="S15" i="34"/>
  <c r="Q15" i="34"/>
  <c r="Z14" i="34"/>
  <c r="Y14" i="34"/>
  <c r="X14" i="34"/>
  <c r="W14" i="34"/>
  <c r="V14" i="34"/>
  <c r="U14" i="34"/>
  <c r="T14" i="34"/>
  <c r="S14" i="34"/>
  <c r="Q14" i="34"/>
  <c r="Z13" i="34"/>
  <c r="Y13" i="34"/>
  <c r="X13" i="34"/>
  <c r="W13" i="34"/>
  <c r="V13" i="34"/>
  <c r="U13" i="34"/>
  <c r="T13" i="34"/>
  <c r="S13" i="34"/>
  <c r="Q13" i="34"/>
  <c r="Z12" i="34"/>
  <c r="Y12" i="34"/>
  <c r="X12" i="34"/>
  <c r="W12" i="34"/>
  <c r="V12" i="34"/>
  <c r="U12" i="34"/>
  <c r="T12" i="34"/>
  <c r="S12" i="34"/>
  <c r="Q12" i="34"/>
  <c r="Z11" i="34"/>
  <c r="Y11" i="34"/>
  <c r="X11" i="34"/>
  <c r="W11" i="34"/>
  <c r="V11" i="34"/>
  <c r="U11" i="34"/>
  <c r="T11" i="34"/>
  <c r="S11" i="34"/>
  <c r="Q11" i="34"/>
  <c r="Z10" i="34"/>
  <c r="Y10" i="34"/>
  <c r="X10" i="34"/>
  <c r="W10" i="34"/>
  <c r="V10" i="34"/>
  <c r="U10" i="34"/>
  <c r="T10" i="34"/>
  <c r="S10" i="34"/>
  <c r="Q10" i="34"/>
  <c r="Z9" i="34"/>
  <c r="Y9" i="34"/>
  <c r="X9" i="34"/>
  <c r="W9" i="34"/>
  <c r="V9" i="34"/>
  <c r="U9" i="34"/>
  <c r="T9" i="34"/>
  <c r="S9" i="34"/>
  <c r="Q9" i="34"/>
  <c r="Z8" i="34"/>
  <c r="Y8" i="34"/>
  <c r="X8" i="34"/>
  <c r="W8" i="34"/>
  <c r="V8" i="34"/>
  <c r="U8" i="34"/>
  <c r="T8" i="34"/>
  <c r="S8" i="34"/>
  <c r="Q8" i="34"/>
  <c r="Z7" i="34"/>
  <c r="Y7" i="34"/>
  <c r="X7" i="34"/>
  <c r="W7" i="34"/>
  <c r="V7" i="34"/>
  <c r="U7" i="34"/>
  <c r="T7" i="34"/>
  <c r="S7" i="34"/>
  <c r="Q7" i="34"/>
  <c r="Z6" i="34"/>
  <c r="Y6" i="34"/>
  <c r="X6" i="34"/>
  <c r="W6" i="34"/>
  <c r="V6" i="34"/>
  <c r="U6" i="34"/>
  <c r="T6" i="34"/>
  <c r="S6" i="34"/>
  <c r="Q6" i="34"/>
  <c r="Z5" i="34"/>
  <c r="Y5" i="34"/>
  <c r="X5" i="34"/>
  <c r="W5" i="34"/>
  <c r="V5" i="34"/>
  <c r="U5" i="34"/>
  <c r="T5" i="34"/>
  <c r="S5" i="34"/>
  <c r="Q5" i="34"/>
  <c r="Z4" i="34"/>
  <c r="Y4" i="34"/>
  <c r="X4" i="34"/>
  <c r="W4" i="34"/>
  <c r="V4" i="34"/>
  <c r="U4" i="34"/>
  <c r="T4" i="34"/>
  <c r="S4" i="34"/>
  <c r="Q4" i="34"/>
  <c r="B1" i="37"/>
  <c r="A1" i="37"/>
  <c r="B1" i="36"/>
  <c r="A1" i="36"/>
  <c r="D131" i="1"/>
  <c r="Z2" i="34"/>
  <c r="R1" i="34"/>
  <c r="D13" i="1" s="1"/>
  <c r="P2" i="34"/>
  <c r="T2" i="34"/>
  <c r="Q2" i="34"/>
  <c r="A1" i="33"/>
  <c r="BU2" i="37"/>
  <c r="BS2" i="37"/>
  <c r="BJ2" i="36"/>
  <c r="BH2" i="36"/>
  <c r="BP2" i="37"/>
  <c r="BI2" i="36" a="1"/>
  <c r="BT2" i="37" a="1"/>
  <c r="CY1" i="37" l="1"/>
  <c r="D77" i="1" s="1"/>
  <c r="CZ1" i="37"/>
  <c r="D78" i="1" s="1"/>
  <c r="BZ1" i="36"/>
  <c r="S1" i="34"/>
  <c r="D14" i="1" s="1"/>
  <c r="T1" i="34"/>
  <c r="D15" i="1" s="1"/>
  <c r="V1" i="34"/>
  <c r="D17" i="1" s="1"/>
  <c r="U1" i="34"/>
  <c r="D16" i="1" s="1"/>
  <c r="W1" i="34"/>
  <c r="D18" i="1" s="1"/>
  <c r="X1" i="34"/>
  <c r="D19" i="1" s="1"/>
  <c r="Y1" i="34"/>
  <c r="D20" i="1" s="1"/>
  <c r="BT2" i="37"/>
  <c r="BI2" i="36"/>
  <c r="BC2" i="36"/>
  <c r="BB2" i="36"/>
  <c r="BA2" i="36"/>
  <c r="AZ2" i="36"/>
  <c r="AY2" i="36"/>
  <c r="BF2" i="36"/>
  <c r="BE2" i="36"/>
  <c r="D26" i="1" l="1"/>
  <c r="BD2" i="36"/>
  <c r="M2" i="34" l="1"/>
  <c r="G13" i="41" l="1"/>
  <c r="BJ2" i="38"/>
  <c r="BN2" i="37"/>
  <c r="BM2" i="37"/>
  <c r="BL2" i="37"/>
  <c r="BK2" i="37"/>
  <c r="BJ2" i="37"/>
  <c r="BI2" i="37"/>
  <c r="BH2" i="37"/>
  <c r="H2" i="35"/>
  <c r="AC1" i="35" l="1"/>
  <c r="AB1" i="35"/>
  <c r="AA1" i="35"/>
  <c r="T4" i="41"/>
  <c r="T3" i="41"/>
  <c r="T2" i="41"/>
  <c r="Z1" i="34" s="1"/>
  <c r="D21" i="1" s="1"/>
  <c r="L2" i="39"/>
  <c r="I2" i="39"/>
  <c r="B1" i="39"/>
  <c r="A1" i="39"/>
  <c r="FT2" i="38"/>
  <c r="FS2" i="38"/>
  <c r="FR2" i="38"/>
  <c r="FQ2" i="38"/>
  <c r="FO2" i="38"/>
  <c r="FM2" i="38"/>
  <c r="FL2" i="38"/>
  <c r="FK2" i="38"/>
  <c r="FH2" i="38"/>
  <c r="FG2" i="38"/>
  <c r="EN2" i="38"/>
  <c r="EM2" i="38"/>
  <c r="EL2" i="38"/>
  <c r="EK2" i="38"/>
  <c r="EJ2" i="38"/>
  <c r="EI2" i="38"/>
  <c r="EH2" i="38"/>
  <c r="EG2" i="38"/>
  <c r="EF2" i="38"/>
  <c r="EE2" i="38"/>
  <c r="ED2" i="38"/>
  <c r="EC2" i="38"/>
  <c r="EB2" i="38"/>
  <c r="EA2" i="38"/>
  <c r="DT2" i="38"/>
  <c r="DS2" i="38"/>
  <c r="DR2" i="38"/>
  <c r="DQ2" i="38"/>
  <c r="DO2" i="38"/>
  <c r="DM2" i="38"/>
  <c r="DL2" i="38"/>
  <c r="DK2" i="38"/>
  <c r="DH2" i="38"/>
  <c r="DG2" i="38"/>
  <c r="CN2" i="38"/>
  <c r="CM2" i="38"/>
  <c r="CL2" i="38"/>
  <c r="CK2" i="38"/>
  <c r="CJ2" i="38"/>
  <c r="CI2" i="38"/>
  <c r="CH2" i="38"/>
  <c r="CG2" i="38"/>
  <c r="CF2" i="38"/>
  <c r="CE2" i="38"/>
  <c r="CD2" i="38"/>
  <c r="CC2" i="38"/>
  <c r="CB2" i="38"/>
  <c r="CA2" i="38"/>
  <c r="BM2" i="38"/>
  <c r="BL2" i="38"/>
  <c r="BK2" i="38"/>
  <c r="BI2" i="38"/>
  <c r="BH2" i="38"/>
  <c r="BG2" i="38"/>
  <c r="BF2" i="38"/>
  <c r="FT1" i="38"/>
  <c r="FS1" i="38"/>
  <c r="FR1" i="38"/>
  <c r="FQ1" i="38"/>
  <c r="FP1" i="38"/>
  <c r="FO1" i="38"/>
  <c r="FN1" i="38"/>
  <c r="FM1" i="38"/>
  <c r="FL1" i="38"/>
  <c r="FK1" i="38"/>
  <c r="FJ1" i="38"/>
  <c r="FI1" i="38"/>
  <c r="FH1" i="38"/>
  <c r="FG1" i="38"/>
  <c r="FF1" i="38"/>
  <c r="FE1" i="38"/>
  <c r="FD1" i="38"/>
  <c r="FC1" i="38"/>
  <c r="FB1" i="38"/>
  <c r="FA1" i="38"/>
  <c r="EZ1" i="38"/>
  <c r="EY1" i="38"/>
  <c r="EX1" i="38"/>
  <c r="EW1" i="38"/>
  <c r="EV1" i="38"/>
  <c r="EU1" i="38"/>
  <c r="ET1" i="38"/>
  <c r="ES1" i="38"/>
  <c r="ER1" i="38"/>
  <c r="EQ1" i="38"/>
  <c r="EP1" i="38"/>
  <c r="EO1" i="38"/>
  <c r="EN1" i="38"/>
  <c r="EM1" i="38"/>
  <c r="EL1" i="38"/>
  <c r="EK1" i="38"/>
  <c r="EJ1" i="38"/>
  <c r="EI1" i="38"/>
  <c r="EH1" i="38"/>
  <c r="EG1" i="38"/>
  <c r="EF1" i="38"/>
  <c r="EE1" i="38"/>
  <c r="ED1" i="38"/>
  <c r="DZ1" i="38" s="1"/>
  <c r="EC1" i="38"/>
  <c r="EB1" i="38"/>
  <c r="EA1" i="38"/>
  <c r="DT1" i="38"/>
  <c r="DS1" i="38"/>
  <c r="DR1" i="38"/>
  <c r="DQ1" i="38"/>
  <c r="DP1" i="38"/>
  <c r="DO1" i="38"/>
  <c r="DN1" i="38"/>
  <c r="DM1" i="38"/>
  <c r="DL1" i="38"/>
  <c r="DK1" i="38"/>
  <c r="DJ1" i="38"/>
  <c r="DI1" i="38"/>
  <c r="DH1" i="38"/>
  <c r="DG1" i="38"/>
  <c r="DF1" i="38"/>
  <c r="DE1" i="38"/>
  <c r="DD1" i="38"/>
  <c r="DC1" i="38"/>
  <c r="DB1" i="38"/>
  <c r="DA1" i="38"/>
  <c r="CZ1" i="38"/>
  <c r="CY1" i="38"/>
  <c r="CX1" i="38"/>
  <c r="CW1" i="38"/>
  <c r="CV1" i="38"/>
  <c r="CU1" i="38"/>
  <c r="CT1" i="38"/>
  <c r="CS1" i="38"/>
  <c r="CR1" i="38"/>
  <c r="CQ1" i="38"/>
  <c r="CP1" i="38"/>
  <c r="CO1" i="38"/>
  <c r="CN1" i="38"/>
  <c r="CM1" i="38"/>
  <c r="CL1" i="38"/>
  <c r="CK1" i="38"/>
  <c r="CJ1" i="38"/>
  <c r="CI1" i="38"/>
  <c r="CH1" i="38"/>
  <c r="CG1" i="38"/>
  <c r="CF1" i="38"/>
  <c r="CE1" i="38"/>
  <c r="CD1" i="38"/>
  <c r="CC1" i="38"/>
  <c r="CB1" i="38"/>
  <c r="CA1" i="38"/>
  <c r="B1" i="38"/>
  <c r="A1" i="38"/>
  <c r="BO2" i="37"/>
  <c r="EZ1" i="37"/>
  <c r="D130" i="1" s="1"/>
  <c r="EY1" i="37"/>
  <c r="D129" i="1" s="1"/>
  <c r="EX1" i="37"/>
  <c r="D128" i="1" s="1"/>
  <c r="EW1" i="37"/>
  <c r="D127" i="1" s="1"/>
  <c r="EV1" i="37"/>
  <c r="D126" i="1" s="1"/>
  <c r="EU1" i="37"/>
  <c r="D125" i="1" s="1"/>
  <c r="ET1" i="37"/>
  <c r="D124" i="1" s="1"/>
  <c r="ES1" i="37"/>
  <c r="D123" i="1" s="1"/>
  <c r="ER1" i="37"/>
  <c r="D122" i="1" s="1"/>
  <c r="EQ1" i="37"/>
  <c r="D121" i="1" s="1"/>
  <c r="EP1" i="37"/>
  <c r="D120" i="1" s="1"/>
  <c r="EO1" i="37"/>
  <c r="D119" i="1" s="1"/>
  <c r="EN1" i="37"/>
  <c r="D118" i="1" s="1"/>
  <c r="EM1" i="37"/>
  <c r="D117" i="1" s="1"/>
  <c r="EL1" i="37"/>
  <c r="D116" i="1" s="1"/>
  <c r="EK1" i="37"/>
  <c r="D115" i="1" s="1"/>
  <c r="EJ1" i="37"/>
  <c r="D114" i="1" s="1"/>
  <c r="EI1" i="37"/>
  <c r="D113" i="1" s="1"/>
  <c r="EH1" i="37"/>
  <c r="D112" i="1" s="1"/>
  <c r="EG1" i="37"/>
  <c r="D111" i="1" s="1"/>
  <c r="EF1" i="37"/>
  <c r="D110" i="1" s="1"/>
  <c r="EE1" i="37"/>
  <c r="D109" i="1" s="1"/>
  <c r="ED1" i="37"/>
  <c r="D108" i="1" s="1"/>
  <c r="EC1" i="37"/>
  <c r="D107" i="1" s="1"/>
  <c r="EB1" i="37"/>
  <c r="D106" i="1" s="1"/>
  <c r="EA1" i="37"/>
  <c r="D105" i="1" s="1"/>
  <c r="DZ1" i="37"/>
  <c r="D104" i="1" s="1"/>
  <c r="DY1" i="37"/>
  <c r="D103" i="1" s="1"/>
  <c r="DX1" i="37"/>
  <c r="D102" i="1" s="1"/>
  <c r="DW1" i="37"/>
  <c r="D101" i="1" s="1"/>
  <c r="DV1" i="37"/>
  <c r="D100" i="1" s="1"/>
  <c r="DU1" i="37"/>
  <c r="D99" i="1" s="1"/>
  <c r="DT1" i="37"/>
  <c r="D98" i="1" s="1"/>
  <c r="DS1" i="37"/>
  <c r="D97" i="1" s="1"/>
  <c r="DR1" i="37"/>
  <c r="D96" i="1" s="1"/>
  <c r="DQ1" i="37"/>
  <c r="D95" i="1" s="1"/>
  <c r="DP1" i="37"/>
  <c r="D94" i="1" s="1"/>
  <c r="DO1" i="37"/>
  <c r="D93" i="1" s="1"/>
  <c r="DN1" i="37"/>
  <c r="D92" i="1" s="1"/>
  <c r="DM1" i="37"/>
  <c r="D91" i="1" s="1"/>
  <c r="DL1" i="37"/>
  <c r="D90" i="1" s="1"/>
  <c r="DK1" i="37"/>
  <c r="D89" i="1" s="1"/>
  <c r="DJ1" i="37"/>
  <c r="D88" i="1" s="1"/>
  <c r="DI1" i="37"/>
  <c r="D87" i="1" s="1"/>
  <c r="DH1" i="37"/>
  <c r="D86" i="1" s="1"/>
  <c r="DG1" i="37"/>
  <c r="D85" i="1" s="1"/>
  <c r="DF1" i="37"/>
  <c r="D84" i="1" s="1"/>
  <c r="DE1" i="37"/>
  <c r="D83" i="1" s="1"/>
  <c r="DD1" i="37"/>
  <c r="D82" i="1" s="1"/>
  <c r="DC1" i="37"/>
  <c r="D81" i="1" s="1"/>
  <c r="DB1" i="37"/>
  <c r="D80" i="1" s="1"/>
  <c r="DA1" i="37"/>
  <c r="D79" i="1" s="1"/>
  <c r="AX2" i="36"/>
  <c r="DS1" i="36"/>
  <c r="D71" i="1" s="1"/>
  <c r="DR1" i="36"/>
  <c r="D70" i="1" s="1"/>
  <c r="DQ1" i="36"/>
  <c r="D69" i="1" s="1"/>
  <c r="DP1" i="36"/>
  <c r="D68" i="1" s="1"/>
  <c r="DO1" i="36"/>
  <c r="D67" i="1" s="1"/>
  <c r="DN1" i="36"/>
  <c r="D66" i="1" s="1"/>
  <c r="DM1" i="36"/>
  <c r="D65" i="1" s="1"/>
  <c r="DL1" i="36"/>
  <c r="D64" i="1" s="1"/>
  <c r="DK1" i="36"/>
  <c r="D63" i="1" s="1"/>
  <c r="DJ1" i="36"/>
  <c r="D62" i="1" s="1"/>
  <c r="DI1" i="36"/>
  <c r="D61" i="1" s="1"/>
  <c r="DH1" i="36"/>
  <c r="D60" i="1" s="1"/>
  <c r="DG1" i="36"/>
  <c r="D59" i="1" s="1"/>
  <c r="DF1" i="36"/>
  <c r="D58" i="1" s="1"/>
  <c r="DE1" i="36"/>
  <c r="D57" i="1" s="1"/>
  <c r="DD1" i="36"/>
  <c r="D56" i="1" s="1"/>
  <c r="DC1" i="36"/>
  <c r="D55" i="1" s="1"/>
  <c r="DB1" i="36"/>
  <c r="D54" i="1" s="1"/>
  <c r="DA1" i="36"/>
  <c r="D53" i="1" s="1"/>
  <c r="CZ1" i="36"/>
  <c r="D52" i="1" s="1"/>
  <c r="CY1" i="36"/>
  <c r="D51" i="1" s="1"/>
  <c r="CX1" i="36"/>
  <c r="D50" i="1" s="1"/>
  <c r="CW1" i="36"/>
  <c r="D49" i="1" s="1"/>
  <c r="CV1" i="36"/>
  <c r="D48" i="1" s="1"/>
  <c r="CU1" i="36"/>
  <c r="D47" i="1" s="1"/>
  <c r="CT1" i="36"/>
  <c r="D46" i="1" s="1"/>
  <c r="CS1" i="36"/>
  <c r="D45" i="1" s="1"/>
  <c r="CR1" i="36"/>
  <c r="D44" i="1" s="1"/>
  <c r="CQ1" i="36"/>
  <c r="D43" i="1" s="1"/>
  <c r="CP1" i="36"/>
  <c r="D42" i="1" s="1"/>
  <c r="CO1" i="36"/>
  <c r="D41" i="1" s="1"/>
  <c r="CN1" i="36"/>
  <c r="D40" i="1" s="1"/>
  <c r="CM1" i="36"/>
  <c r="D39" i="1" s="1"/>
  <c r="CL1" i="36"/>
  <c r="D38" i="1" s="1"/>
  <c r="CK1" i="36"/>
  <c r="D37" i="1" s="1"/>
  <c r="CJ1" i="36"/>
  <c r="D36" i="1" s="1"/>
  <c r="CI1" i="36"/>
  <c r="D35" i="1" s="1"/>
  <c r="CH1" i="36"/>
  <c r="D34" i="1" s="1"/>
  <c r="CG1" i="36"/>
  <c r="D33" i="1" s="1"/>
  <c r="CF1" i="36"/>
  <c r="D32" i="1" s="1"/>
  <c r="CE1" i="36"/>
  <c r="D31" i="1" s="1"/>
  <c r="CD1" i="36"/>
  <c r="D30" i="1" s="1"/>
  <c r="CC1" i="36"/>
  <c r="D29" i="1" s="1"/>
  <c r="CB1" i="36"/>
  <c r="D28" i="1" s="1"/>
  <c r="CA1" i="36"/>
  <c r="AH2" i="35"/>
  <c r="AG2" i="35"/>
  <c r="AF2" i="35"/>
  <c r="AC2" i="35"/>
  <c r="AB2" i="35"/>
  <c r="AA2" i="35"/>
  <c r="AJ1" i="35"/>
  <c r="AH1" i="35"/>
  <c r="AG1" i="35"/>
  <c r="AF1" i="35"/>
  <c r="AD1" i="35"/>
  <c r="S2" i="34"/>
  <c r="Y2" i="34"/>
  <c r="X2" i="34"/>
  <c r="W2" i="34"/>
  <c r="V2" i="34"/>
  <c r="U2" i="34"/>
  <c r="O1" i="34"/>
  <c r="AD2" i="33"/>
  <c r="AC2" i="33"/>
  <c r="AA2" i="33"/>
  <c r="H2" i="33"/>
  <c r="AD1" i="33"/>
  <c r="D6" i="1" s="1"/>
  <c r="AC1" i="33"/>
  <c r="D5" i="1" s="1"/>
  <c r="AB1" i="33"/>
  <c r="AA1" i="33"/>
  <c r="D4" i="1" s="1"/>
  <c r="B1" i="33"/>
  <c r="J2" i="39" a="1"/>
  <c r="D3" i="1" l="1"/>
  <c r="D76" i="1"/>
  <c r="CX1" i="37"/>
  <c r="D27" i="1"/>
  <c r="D25" i="1" s="1"/>
  <c r="BY1" i="36"/>
  <c r="Z1" i="33"/>
  <c r="AI1" i="35"/>
  <c r="J2" i="39"/>
  <c r="Q1" i="34" l="1"/>
  <c r="P1" i="34" l="1"/>
  <c r="D12" i="1"/>
  <c r="D1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<sst xmlns="http://schemas.openxmlformats.org/spreadsheetml/2006/main" count="724" uniqueCount="347">
  <si>
    <t>No</t>
  </si>
  <si>
    <t>Data Diproses</t>
  </si>
  <si>
    <t>NIK</t>
  </si>
  <si>
    <t>Nama</t>
  </si>
  <si>
    <t>No Rekam Medis</t>
  </si>
  <si>
    <t>Status Penawaran PrEP</t>
  </si>
  <si>
    <t>Status Proses</t>
  </si>
  <si>
    <t>penawaran</t>
  </si>
  <si>
    <t>Nama Penerima</t>
  </si>
  <si>
    <t>jml_tidak_valid</t>
  </si>
  <si>
    <t>jml_data_cek_valid</t>
  </si>
  <si>
    <t>Email</t>
  </si>
  <si>
    <t>HP</t>
  </si>
  <si>
    <t>Domisili</t>
  </si>
  <si>
    <t>Tempat Lahir</t>
  </si>
  <si>
    <t>Tanggal Lahir</t>
  </si>
  <si>
    <t>Jenis Kelamin</t>
  </si>
  <si>
    <t>Klp Risiko</t>
  </si>
  <si>
    <t>Tanggal Lahir value</t>
  </si>
  <si>
    <t>Keperluan</t>
  </si>
  <si>
    <t>Tanggal Kunjungan</t>
  </si>
  <si>
    <t>Tanggal Kunjungan value</t>
  </si>
  <si>
    <t>KEPERLUAN</t>
  </si>
  <si>
    <t>TANGGAL KUNJUNGAN</t>
  </si>
  <si>
    <t>IDENTITAS KLIEN/PASIEN</t>
  </si>
  <si>
    <t>TEST HIV</t>
  </si>
  <si>
    <t>ASSESSMEN INDIKASI HIV AKUT (IHA)</t>
  </si>
  <si>
    <t>PENCATATAN MEMULAI PrEP</t>
  </si>
  <si>
    <t>FAKTOR RESIKO DALAM 3 BULAN TERAKHIR</t>
  </si>
  <si>
    <t>MEMULAI PrEP</t>
  </si>
  <si>
    <t>Tes Lab</t>
  </si>
  <si>
    <t>Klien mendapatkan informasi tentang PrEP dari</t>
  </si>
  <si>
    <t>Hasil tes HIV</t>
  </si>
  <si>
    <t>Status pengguna PrEP</t>
  </si>
  <si>
    <t>c. Alasan berhenti PrEP:</t>
  </si>
  <si>
    <t>a. Metode Penggunaan yang digunakan pada PrEP terakhir:</t>
  </si>
  <si>
    <t>b. Kapan konsumsi terakhir PrEP:</t>
  </si>
  <si>
    <t>Dengan berapa orang Anda melakukan hubungan seksual melalui</t>
  </si>
  <si>
    <t>Apakah Anda menggunakan kondom setiap kali berhubungan seks (penggunaan kondom secara konsisten)</t>
  </si>
  <si>
    <t>Apakah Anda sudah pernah menggunakan PREP?</t>
  </si>
  <si>
    <t>Rejimen PrEP</t>
  </si>
  <si>
    <t>Hasil Sifilis</t>
  </si>
  <si>
    <t>Petugas</t>
  </si>
  <si>
    <r>
      <t>Berat Badan
(</t>
    </r>
    <r>
      <rPr>
        <i/>
        <sz val="11"/>
        <color theme="1"/>
        <rFont val="Aptos Narrow"/>
        <family val="2"/>
        <scheme val="minor"/>
      </rPr>
      <t>dalam kg</t>
    </r>
    <r>
      <rPr>
        <b/>
        <sz val="11"/>
        <color theme="1"/>
        <rFont val="Aptos Narrow"/>
        <family val="2"/>
        <scheme val="minor"/>
      </rPr>
      <t>)</t>
    </r>
  </si>
  <si>
    <r>
      <t>Tinggi Badan (</t>
    </r>
    <r>
      <rPr>
        <i/>
        <sz val="11"/>
        <color theme="1"/>
        <rFont val="Aptos Narrow"/>
        <family val="2"/>
        <scheme val="minor"/>
      </rPr>
      <t>dalam cm</t>
    </r>
    <r>
      <rPr>
        <b/>
        <sz val="11"/>
        <color theme="1"/>
        <rFont val="Aptos Narrow"/>
        <family val="2"/>
        <scheme val="minor"/>
      </rPr>
      <t>)</t>
    </r>
  </si>
  <si>
    <r>
      <t xml:space="preserve">Tekanan Darah
</t>
    </r>
    <r>
      <rPr>
        <i/>
        <sz val="11"/>
        <color theme="1"/>
        <rFont val="Aptos Narrow"/>
        <family val="2"/>
        <scheme val="minor"/>
      </rPr>
      <t>xxx/xx</t>
    </r>
  </si>
  <si>
    <t>Klien mendapatkan penawaran PrEP di fasyankes</t>
  </si>
  <si>
    <t>Klien sudah diberikan informasi tentang PrEP oleh Tenaga Kesehatan</t>
  </si>
  <si>
    <t>Tanggal hasil tes HIV</t>
  </si>
  <si>
    <t>Tempat tes HIV</t>
  </si>
  <si>
    <t>Alat pemeriksaan HIV yang digunakan</t>
  </si>
  <si>
    <t>1. Dalam 3 hari terakhir, apakah Anda pernah berhubungan seksual tanpa kondom dengan orang yang terinfeksi HIV yang tidak dalam pengobatan?</t>
  </si>
  <si>
    <t>2. Dalam 3 hari terakhir, pernahkah Anda mengalami demam, merasa mudah dan terus-menerus lelah, kelenjar bengkak, pembengkakan amandel, sakit tenggorokan, nyeri otot dan sendi, diare, atau ruam?</t>
  </si>
  <si>
    <t>Apakah klien setuju menggunakan PrEP?</t>
  </si>
  <si>
    <t>Berapa jumlah pasangan seksual laki-laki Anda</t>
  </si>
  <si>
    <t>Berapa jumlah pasangan seksual perempuan Anda</t>
  </si>
  <si>
    <t>Apakah Anda mengalami IMS dalam 3 bulan terakhir</t>
  </si>
  <si>
    <t>Apakah Anda memiliki pasangan seksual yang mengidap HIV, serta tidak menggunakan kondom secara konsisten saat melakukan hubungan seksual dengan pasangan tersebut ATAU berencana hamil?</t>
  </si>
  <si>
    <t>a. Belum menjalani terapi pengobatan ARV</t>
  </si>
  <si>
    <t>b. Penggunaan ARV yang tidak teratur dalam 6 bulan terakhir</t>
  </si>
  <si>
    <t>c. Jumlah viral load belum diketahui</t>
  </si>
  <si>
    <t>d. Viral load tidak tersupresi (&gt;1000 kopi/mL) setelah pengobatan ARV minimal selama 6 bulan</t>
  </si>
  <si>
    <t>e. Berencana memiliki anak dengan pasangan ODHIV yang viral load-nya terdeteksi</t>
  </si>
  <si>
    <t>Apakah Anda menggunakan kondom dalam hubungan seks terakhir?</t>
  </si>
  <si>
    <t>Rata-rata dalam 1 minggu berapa kali melakukan hubungan seksual?</t>
  </si>
  <si>
    <t>Metode penggunaan saat memulai PrEP</t>
  </si>
  <si>
    <t>Jumlah obat yang diberikan
(dalam botol)</t>
  </si>
  <si>
    <t>Tanggal memulai PrEP</t>
  </si>
  <si>
    <t>Tanggal pertemuan selanjutnya (kunjungan ulang bulan ke-1)</t>
  </si>
  <si>
    <t>Sifilis</t>
  </si>
  <si>
    <t>Nomor Hasil Lab Sifilis</t>
  </si>
  <si>
    <t>Tempat Pemeriksaan Sifilis</t>
  </si>
  <si>
    <t>Tanggal Pengambilan Sampel Sifilis</t>
  </si>
  <si>
    <t>Tanggal Keluar Hasil Lab Sifilis</t>
  </si>
  <si>
    <t>Value:
Hari, Tanggal</t>
  </si>
  <si>
    <t>Value:
Tanggal Tes HIV</t>
  </si>
  <si>
    <t>Value:
Tanggal Memulai PrEP</t>
  </si>
  <si>
    <t>Value:
Tanggal Pertemuan Selanjutnya</t>
  </si>
  <si>
    <t>Value:
Tanggal Pemeriksaan Sifilis</t>
  </si>
  <si>
    <t>Value:
Tanggal Keluar hasil Lab Sifilis</t>
  </si>
  <si>
    <t>Row Table</t>
  </si>
  <si>
    <t>Saya Berani</t>
  </si>
  <si>
    <t>Non Reaktif</t>
  </si>
  <si>
    <t>Baru Memulai</t>
  </si>
  <si>
    <t>Efek samping rejimen PrEP</t>
  </si>
  <si>
    <t>Harian</t>
  </si>
  <si>
    <t>1 bulan terakhir</t>
  </si>
  <si>
    <t>Anus</t>
  </si>
  <si>
    <t>Ya</t>
  </si>
  <si>
    <t>Sudah Pernah</t>
  </si>
  <si>
    <t>TDF/FTC</t>
  </si>
  <si>
    <t>Negatif</t>
  </si>
  <si>
    <t>Setuju</t>
  </si>
  <si>
    <t>Hamil</t>
  </si>
  <si>
    <t>Nama, Tanggal Kunjungan dan Keperluan Kunjungan TIDAK COCOK dengan DATA KUNJUNGAN</t>
  </si>
  <si>
    <t>Identitas Klien: Berat Badan</t>
  </si>
  <si>
    <t>Identitas Klien: Tinggi Badan</t>
  </si>
  <si>
    <t>Identitas Klien: Tekanan Darah</t>
  </si>
  <si>
    <t>Penawaran PrEP</t>
  </si>
  <si>
    <t>Informasi PrEP</t>
  </si>
  <si>
    <t>Sumber Informasi PrEP</t>
  </si>
  <si>
    <t>Tes HIV: Hasil Tes</t>
  </si>
  <si>
    <t>Tes HIV: Tanggal Tes</t>
  </si>
  <si>
    <t>Tes HIV: Tempat Tes</t>
  </si>
  <si>
    <t>Tes HIV: Alat Pemeriksaan</t>
  </si>
  <si>
    <t>IHA: Seksual tanpa Kondom</t>
  </si>
  <si>
    <t>IHA: Gejala IHA</t>
  </si>
  <si>
    <t>Persetujuan PrEP</t>
  </si>
  <si>
    <t>Status Mulai PrEP</t>
  </si>
  <si>
    <t>Metode PrEP Sebelumnya</t>
  </si>
  <si>
    <t>Terakhir Menggunakan PrEP</t>
  </si>
  <si>
    <t>Alasan Berhenti PrEP</t>
  </si>
  <si>
    <t>Faktor Risiko: Jumlah Pasangan Seksual</t>
  </si>
  <si>
    <t>Faktor Risiko: Jumlah Pasangan Seksual Laki-laki</t>
  </si>
  <si>
    <t>Faktor Risiko: Jumlah Pasangan Seksual Perempuan</t>
  </si>
  <si>
    <t>Faktor Risiko: Penggunaan Kondom Secara Konsisten</t>
  </si>
  <si>
    <t>Faktor Risiko: Mengalami IMS</t>
  </si>
  <si>
    <t>Faktor Risiko: Memiliki pasangan ODHIV, Tidak Menggunakan Kondom Atau Berencana Hamil</t>
  </si>
  <si>
    <t>Faktor Risiko: Pasangan Belum menjalani terapi pengobatan ARV</t>
  </si>
  <si>
    <t>Faktor Risiko: Penggunaan ARV Pasangan yang tidak teratur dalam 6 bulan terakhir</t>
  </si>
  <si>
    <t>Faktor Risiko: Jumlah viral load Pasangan belum diketahui</t>
  </si>
  <si>
    <t>Faktor Risiko: Viral load Pasangan tidak tersupresi (&gt;1000 kopi/mL) setelah pengobatan ARV minimal selama 6 bulan</t>
  </si>
  <si>
    <t>Faktor Risiko: Berencana memiliki anak dengan pasangan ODHIV yang viral load-nya terdeteksi</t>
  </si>
  <si>
    <t>Faktor Risiko: Pernah menggunakan PrEP</t>
  </si>
  <si>
    <t>Faktor Risiko: Menggunakan kondom dalam hubungan seks terakhir</t>
  </si>
  <si>
    <t>Faktor Risiko: Rata-rata Jumlah Hubungan Seksual dalam 1 minggu</t>
  </si>
  <si>
    <t>Memulai PrEP: Metode</t>
  </si>
  <si>
    <t>Memulai PrEP: Rejimen</t>
  </si>
  <si>
    <t>Memulai PrEP: Jumlah Obat</t>
  </si>
  <si>
    <t>Memulai PrEP: Tanggal Memulai PrEP</t>
  </si>
  <si>
    <t>Memulai PrEP: Tanggal pertemuan selanjutnya (kunjungan ulang bulan ke-1)</t>
  </si>
  <si>
    <t>Tes Lab Sifilis: Nomor Hasil Lab</t>
  </si>
  <si>
    <t>Tes Lab Sifilis: Tempat Pemeriksaan</t>
  </si>
  <si>
    <t>Tes Lab Sifilis: Tanggal Pengambilan Sampel</t>
  </si>
  <si>
    <t>Tes Lab Sifilis: Tanggal Keluar Hasil Lab</t>
  </si>
  <si>
    <t>Tes Lab Sifilis: Hasil Tes</t>
  </si>
  <si>
    <t>Tanya Marlo</t>
  </si>
  <si>
    <t>Reaktif</t>
  </si>
  <si>
    <t>Memulai Kembali</t>
  </si>
  <si>
    <t>Penyakit parah, perawatan di rumah sakit</t>
  </si>
  <si>
    <t>Event Driven (ED)</t>
  </si>
  <si>
    <t>3 bulan terakhir</t>
  </si>
  <si>
    <t>Vagina</t>
  </si>
  <si>
    <t>Tidak</t>
  </si>
  <si>
    <t>Belum Pernah</t>
  </si>
  <si>
    <t>TDF/3TC</t>
  </si>
  <si>
    <t>Positif</t>
  </si>
  <si>
    <t>Tidak Setuju</t>
  </si>
  <si>
    <t>Tidak Hamil</t>
  </si>
  <si>
    <t>Event Driven</t>
  </si>
  <si>
    <t>Media Sosial Lainnya</t>
  </si>
  <si>
    <t>Indeterminate</t>
  </si>
  <si>
    <t>Kehabisan stok obat</t>
  </si>
  <si>
    <t>6 bulan terakhir</t>
  </si>
  <si>
    <t>Vagina dan Anus</t>
  </si>
  <si>
    <t>Tidak Tahu</t>
  </si>
  <si>
    <t>Konselor Saya Berani/Tanya Marlo</t>
  </si>
  <si>
    <t>Pengguna PrEP mengalami masalah finansial</t>
  </si>
  <si>
    <t>1 tahun terakhir</t>
  </si>
  <si>
    <t>Petugas Lapangan HIV</t>
  </si>
  <si>
    <t>Merasa sudah tidak berisiko terinfeksi HIV</t>
  </si>
  <si>
    <t>lebih dari 1 tahun</t>
  </si>
  <si>
    <t>Layanan Kesehatan</t>
  </si>
  <si>
    <t>Pindah layanan/program PrEP</t>
  </si>
  <si>
    <t>lembaga/Organisasi Komunitas HIV</t>
  </si>
  <si>
    <t>Serokonversi</t>
  </si>
  <si>
    <t>Teman/Keluarga</t>
  </si>
  <si>
    <t>Lainnya</t>
  </si>
  <si>
    <t>EFEK SAMPING PrEP</t>
  </si>
  <si>
    <t>Tes HIV dan IMS hanya dilakukan pada kunjungan per 3 bulan</t>
  </si>
  <si>
    <t>Status Kehamilan</t>
  </si>
  <si>
    <t>Obat-obatan lain yang diberikan</t>
  </si>
  <si>
    <t>RIWAYAT PENGGUNAAN PrEP</t>
  </si>
  <si>
    <t>PrEP SAAT INI</t>
  </si>
  <si>
    <t>KONSELING</t>
  </si>
  <si>
    <t>Kreatinin (pemeriksaan kreatinin serum sesuai standar layanan, sesuai indikasi**)</t>
  </si>
  <si>
    <t>Kunjungan Rutin Bulan Ke</t>
  </si>
  <si>
    <t>Apakah ada efek samping PrEP? Jika ada, berikan tanda centang pada efek samping di bawah</t>
  </si>
  <si>
    <t>GI (mual, diare, nyeri perut, muntah-muntah)</t>
  </si>
  <si>
    <t>Skin (ruam, reaksi alergi/oversensitive)</t>
  </si>
  <si>
    <t>Peripheral neuropathy (rasa terbakar/mati rasa/tergelitik)</t>
  </si>
  <si>
    <t>CNS (pusing, cemas, mimpi buruk, depresi, kejang)</t>
  </si>
  <si>
    <t>Hepatic dysfunction (penyakit kuning)</t>
  </si>
  <si>
    <t>Haematological (anemia, neutropenia)</t>
  </si>
  <si>
    <t>Fatigue (lemas)</t>
  </si>
  <si>
    <t>Headache (sakit kepala)</t>
  </si>
  <si>
    <t>Bone dysfunction (fraktur, osteopenia)</t>
  </si>
  <si>
    <t>Metabolik (perubahan lemak tubuh, hiperglikemia, dyslipidemia)</t>
  </si>
  <si>
    <t>Kidney dysfunction (nefrolitiasis, ketidaksesuaian sistem renal)</t>
  </si>
  <si>
    <t>HIV (Setiap 3 Bulan)</t>
  </si>
  <si>
    <t>Tanggal Pengambilan Sampel - HIV</t>
  </si>
  <si>
    <t>Tanggal Keluar Hasil Lab - HIV</t>
  </si>
  <si>
    <t>Hasil - HIV</t>
  </si>
  <si>
    <t>IMS (Setiap 3 Bulan)</t>
  </si>
  <si>
    <t>Tanggal Pengambilan Sampel - IMS</t>
  </si>
  <si>
    <t>Tanggal Keluar Hasil Lab -IMS</t>
  </si>
  <si>
    <t>Hasil - IMS</t>
  </si>
  <si>
    <t>GO</t>
  </si>
  <si>
    <t>IMS Lainnya 1</t>
  </si>
  <si>
    <t>IMS Lainnya 2</t>
  </si>
  <si>
    <t>IMS Lainnya 3</t>
  </si>
  <si>
    <t>Sedang hamil</t>
  </si>
  <si>
    <t>Obat IMS</t>
  </si>
  <si>
    <t>Obat Hepatitis</t>
  </si>
  <si>
    <t>Obat Penyakit Lainnya</t>
  </si>
  <si>
    <t>Jumlah pil yang diberikan pada kunjungan sebelumnya</t>
  </si>
  <si>
    <t>Sisa Pil</t>
  </si>
  <si>
    <t>Frekuensi seks perminggu sejak kunjungan terakhir</t>
  </si>
  <si>
    <t>Kepatuhan</t>
  </si>
  <si>
    <t>Kategori Kepatuhan</t>
  </si>
  <si>
    <t>Akan melanjutkan PrEP?</t>
  </si>
  <si>
    <t>Metode Penggunaan yang Akan Digunakan Selanjutnya</t>
  </si>
  <si>
    <t>Rejimen Obat PrEP yang diberikan pada kunjungan saat ini</t>
  </si>
  <si>
    <t>Alasan berhenti PrEP:</t>
  </si>
  <si>
    <t>Alasan berhenti Lainnya:</t>
  </si>
  <si>
    <t>Konseling Pengurangan Resiko</t>
  </si>
  <si>
    <t>Konseling Kepatuhan</t>
  </si>
  <si>
    <t>Konseling Lainnya</t>
  </si>
  <si>
    <t>Jadwal Kedatangan Selanjutnya</t>
  </si>
  <si>
    <t>Tanggal Tes Kreatinin</t>
  </si>
  <si>
    <t>Tanggal Hasil Kreatinin</t>
  </si>
  <si>
    <t>Hasil Kreatinin</t>
  </si>
  <si>
    <r>
      <t xml:space="preserve">Berat Badan Saat ini
</t>
    </r>
    <r>
      <rPr>
        <b/>
        <i/>
        <sz val="11"/>
        <color theme="1"/>
        <rFont val="Aptos Narrow"/>
        <family val="2"/>
        <scheme val="minor"/>
      </rPr>
      <t>(kg)</t>
    </r>
  </si>
  <si>
    <r>
      <t xml:space="preserve">Bersihan Kreatinin
</t>
    </r>
    <r>
      <rPr>
        <b/>
        <i/>
        <sz val="11"/>
        <color theme="1"/>
        <rFont val="Aptos Narrow"/>
        <family val="2"/>
        <scheme val="minor"/>
      </rPr>
      <t>(mL/min)</t>
    </r>
  </si>
  <si>
    <t>Catatan</t>
  </si>
  <si>
    <t>Value:
Tanggal Pengambilan Sampel - HIV</t>
  </si>
  <si>
    <t>Value:
Tanggal Keluar Hasil Lab - HIV</t>
  </si>
  <si>
    <t>Value:
Tanggal Pengambilan Sampel - IMS</t>
  </si>
  <si>
    <t>Value:
Tanggal Keluar Hasil Lab - IMS</t>
  </si>
  <si>
    <t>Value:
Jadwal Kedatangan Selanjutnya</t>
  </si>
  <si>
    <t>Value:
Tanggal Tes Kreatinin</t>
  </si>
  <si>
    <t>Value:
Tanggal Hasil Kreatinin</t>
  </si>
  <si>
    <t>Value:
Tanggal Kunjungan</t>
  </si>
  <si>
    <t>Row Table Kunj Terkahir</t>
  </si>
  <si>
    <t>Jumlah obat yang diberikan</t>
  </si>
  <si>
    <t>Jumlah Obat (botol)</t>
  </si>
  <si>
    <t>Status Simpan</t>
  </si>
  <si>
    <t>Jumlah obat yang diinput dokter (botol)</t>
  </si>
  <si>
    <t>Bulan Kunjungan value</t>
  </si>
  <si>
    <t>Tahun Kunjungan value</t>
  </si>
  <si>
    <t>01</t>
  </si>
  <si>
    <t>L</t>
  </si>
  <si>
    <t>Memulai PrEP</t>
  </si>
  <si>
    <t>Menerima penawaran PrEP</t>
  </si>
  <si>
    <t>-PrEP</t>
  </si>
  <si>
    <t>Simpan</t>
  </si>
  <si>
    <t>02</t>
  </si>
  <si>
    <t>P</t>
  </si>
  <si>
    <t>Kunjungan Ulang Rutin</t>
  </si>
  <si>
    <t>Tidak memenuhi syarat karena IHA</t>
  </si>
  <si>
    <t>-PrEP-IHA</t>
  </si>
  <si>
    <t>Final</t>
  </si>
  <si>
    <t>03</t>
  </si>
  <si>
    <t>Kunjungan Ulang Insidental</t>
  </si>
  <si>
    <t>Menolak penawaran PrEP dengan alasan “memilih pakai kondom”</t>
  </si>
  <si>
    <t>-PrEP-kondom</t>
  </si>
  <si>
    <t>04</t>
  </si>
  <si>
    <t>Menolak penawaran PrEP dengan alasan “khawatir efek samping obat”</t>
  </si>
  <si>
    <t>-PrEP-efek</t>
  </si>
  <si>
    <t>05</t>
  </si>
  <si>
    <t>Menolak penawaran PrEP dengan alasan “merasa tidak berisiko”</t>
  </si>
  <si>
    <t>-PrEP-risiko</t>
  </si>
  <si>
    <t>06</t>
  </si>
  <si>
    <t>Menolak penawaran PrEP dengan alasan “klien tidak siap”</t>
  </si>
  <si>
    <t>-PrEP-siap</t>
  </si>
  <si>
    <t>07</t>
  </si>
  <si>
    <t>Menolak penawaran PrEP dengan alasan “faktor lainnya”</t>
  </si>
  <si>
    <t>-PrEP-lain</t>
  </si>
  <si>
    <t>08</t>
  </si>
  <si>
    <t>09</t>
  </si>
  <si>
    <t>10</t>
  </si>
  <si>
    <t>11</t>
  </si>
  <si>
    <t>12</t>
  </si>
  <si>
    <t>13</t>
  </si>
  <si>
    <t>14</t>
  </si>
  <si>
    <t>15</t>
  </si>
  <si>
    <t>16</t>
  </si>
  <si>
    <t>Jan</t>
  </si>
  <si>
    <t>17</t>
  </si>
  <si>
    <t>Feb</t>
  </si>
  <si>
    <t>18</t>
  </si>
  <si>
    <t>Mar</t>
  </si>
  <si>
    <t>19</t>
  </si>
  <si>
    <t>Apr</t>
  </si>
  <si>
    <t>20</t>
  </si>
  <si>
    <t>Mei</t>
  </si>
  <si>
    <t>21</t>
  </si>
  <si>
    <t>Jun</t>
  </si>
  <si>
    <t>22</t>
  </si>
  <si>
    <t>Jul</t>
  </si>
  <si>
    <t>23</t>
  </si>
  <si>
    <t>Agu</t>
  </si>
  <si>
    <t>24</t>
  </si>
  <si>
    <t>Sep</t>
  </si>
  <si>
    <t>25</t>
  </si>
  <si>
    <t>Okt</t>
  </si>
  <si>
    <t>26</t>
  </si>
  <si>
    <t>Nov</t>
  </si>
  <si>
    <t>27</t>
  </si>
  <si>
    <t>Des</t>
  </si>
  <si>
    <t>28</t>
  </si>
  <si>
    <t>29</t>
  </si>
  <si>
    <t>30</t>
  </si>
  <si>
    <t>31</t>
  </si>
  <si>
    <t xml:space="preserve">          Proses RPA          </t>
  </si>
  <si>
    <t>id</t>
  </si>
  <si>
    <t>Peripheral neuropathy (rasa terbakar/ mati rasa/ tergelitik)</t>
  </si>
  <si>
    <t>Skin (ruam, reaksi alergi/ oversensitive)</t>
  </si>
  <si>
    <r>
      <t>Untuk mempermudah penggunaan aplikasi ini, silahkan akses menu '</t>
    </r>
    <r>
      <rPr>
        <b/>
        <sz val="11"/>
        <color theme="1"/>
        <rFont val="Aptos Narrow"/>
        <family val="2"/>
        <scheme val="minor"/>
      </rPr>
      <t>Panduan Penggunaan</t>
    </r>
    <r>
      <rPr>
        <sz val="11"/>
        <color theme="1"/>
        <rFont val="Aptos Narrow"/>
        <family val="2"/>
        <scheme val="minor"/>
      </rPr>
      <t>'</t>
    </r>
  </si>
  <si>
    <t>Info Kunjungan Terakhir Sebelumnya</t>
  </si>
  <si>
    <t>Apakah ada efek samping PrEP?</t>
  </si>
  <si>
    <t xml:space="preserve">Apakah ada efek samping PrEP? </t>
  </si>
  <si>
    <t>en-US</t>
  </si>
  <si>
    <t>RPA-PrEP</t>
  </si>
  <si>
    <t>https://prep-sihapims2.kemkes.go.id/</t>
  </si>
  <si>
    <t>https://sihapims2.kemkes.go.id/</t>
  </si>
  <si>
    <t xml:space="preserve">               Konfigurasi               </t>
  </si>
  <si>
    <t xml:space="preserve">          Tentang Aplikasi          </t>
  </si>
  <si>
    <t>start chrome.exe --profile-directory=Default --remote-debugging-port=9222</t>
  </si>
  <si>
    <t>Proses Berhasil</t>
  </si>
  <si>
    <t>lsl</t>
  </si>
  <si>
    <t>wps</t>
  </si>
  <si>
    <t>tg</t>
  </si>
  <si>
    <t>penasun</t>
  </si>
  <si>
    <t>serodiskordan</t>
  </si>
  <si>
    <t>risti</t>
  </si>
  <si>
    <t>Patuh</t>
  </si>
  <si>
    <t>Kurang Patuh</t>
  </si>
  <si>
    <t>BILAL HANAFI</t>
  </si>
  <si>
    <t>Variabel</t>
  </si>
  <si>
    <t>Jumlah Data Tidak Valid</t>
  </si>
  <si>
    <t>Validasi Klp Risiko tidak Sesuai dengan Jenis Kelamin</t>
  </si>
  <si>
    <t>Berat Badan Saat ini
(kg)</t>
  </si>
  <si>
    <t>Bersihan Kreatinin
(mL/min)</t>
  </si>
  <si>
    <t>TOTAL</t>
  </si>
  <si>
    <t>Ya, Semua Proses</t>
  </si>
  <si>
    <t>Ya, Pemberian Obat</t>
  </si>
  <si>
    <t>Ya, Input Data Kunjungan &amp; Pemberian Obat</t>
  </si>
  <si>
    <t>LSL</t>
  </si>
  <si>
    <t>WPS</t>
  </si>
  <si>
    <t>Waria</t>
  </si>
  <si>
    <t>Penasun</t>
  </si>
  <si>
    <t>Pasangan ODHIV</t>
  </si>
  <si>
    <t>Pasangan Resiko Tinggi (Risti)</t>
  </si>
  <si>
    <t>Peripheral neuropathy (rasa terbakar /mati rasa /tergelitik)</t>
  </si>
  <si>
    <r>
      <t xml:space="preserve">Aplikasi ini merupakan aplikasi bantu yang dikembangkan </t>
    </r>
    <r>
      <rPr>
        <b/>
        <sz val="11"/>
        <color theme="1"/>
        <rFont val="Aptos Narrow"/>
        <family val="2"/>
        <scheme val="minor"/>
      </rPr>
      <t>EpiC Indonesia</t>
    </r>
    <r>
      <rPr>
        <sz val="11"/>
        <color theme="1"/>
        <rFont val="Aptos Narrow"/>
        <family val="2"/>
        <scheme val="minor"/>
      </rPr>
      <t xml:space="preserve"> dalam rangka membantu mengurangi beban input data staf pencatatan dan pelaporan program HIV di fasyankes pemberi pelayanan PrEP. Aplikasi ini berbasis macro excel dan menggunakan metode CDP untuk melakukan automatisasi chrome browser.</t>
    </r>
  </si>
  <si>
    <r>
      <rPr>
        <i/>
        <sz val="11"/>
        <color theme="0"/>
        <rFont val="Aptos Narrow"/>
        <family val="2"/>
        <scheme val="minor"/>
      </rPr>
      <t>Version</t>
    </r>
    <r>
      <rPr>
        <i/>
        <sz val="16"/>
        <color theme="0"/>
        <rFont val="Aptos Narrow"/>
        <family val="2"/>
        <scheme val="minor"/>
      </rPr>
      <t xml:space="preserve"> 
2.3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</si>
</sst>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0"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4"/>
      <color theme="1"/>
      <name val="Aptos Narrow"/>
      <family val="2"/>
      <scheme val="minor"/>
    </font>
    <font>
      <sz val="12"/>
      <color theme="1"/>
      <name val="Aptos Narrow"/>
      <family val="2"/>
      <scheme val="minor"/>
    </font>
    <font>
      <i/>
      <sz val="11"/>
      <color theme="1"/>
      <name val="Aptos Narrow"/>
      <family val="2"/>
      <scheme val="minor"/>
    </font>
    <font>
      <b/>
      <i/>
      <sz val="11"/>
      <color theme="1"/>
      <name val="Aptos Narrow"/>
      <family val="2"/>
      <scheme val="minor"/>
    </font>
    <font>
      <sz val="36"/>
      <color theme="1"/>
      <name val="Aptos Narrow"/>
      <family val="2"/>
      <scheme val="minor"/>
    </font>
    <font>
      <i/>
      <sz val="16"/>
      <color theme="0"/>
      <name val="Aptos Narrow"/>
      <family val="2"/>
      <scheme val="minor"/>
    </font>
    <font>
      <i/>
      <sz val="11"/>
      <color theme="0"/>
      <name val="Aptos Narrow"/>
      <family val="2"/>
      <scheme val="minor"/>
    </font>
    <font>
      <b/>
      <sz val="11"/>
      <color rgb="FFFFFFFF"/>
      <name val="Aptos Narrow"/>
      <family val="2"/>
      <scheme val="minor"/>
    </font>
    <font>
      <b/>
      <sz val="11"/>
      <color theme="10"/>
      <name val="Aptos Narrow"/>
      <family val="2"/>
      <scheme val="minor"/>
    </font>
    <font>
      <b/>
      <sz val="11"/>
      <color rgb="FF000000"/>
      <name val="Aptos Narrow"/>
      <family val="2"/>
      <scheme val="minor"/>
    </font>
    <font>
      <sz val="10"/>
      <color theme="1"/>
      <name val="Aptos Narrow"/>
      <family val="2"/>
      <scheme val="minor"/>
    </font>
    <font>
      <sz val="16"/>
      <color theme="1"/>
      <name val="Aptos Narrow"/>
      <family val="2"/>
      <scheme val="minor"/>
    </font>
    <font>
      <sz val="11"/>
      <name val="Aptos Narrow"/>
      <family val="2"/>
      <scheme val="minor"/>
    </font>
    <font>
      <sz val="8"/>
      <color theme="1"/>
      <name val="Aptos Narrow"/>
      <family val="2"/>
      <scheme val="minor"/>
    </font>
    <font>
      <sz val="9"/>
      <color theme="1"/>
      <name val="Aptos Narrow"/>
      <family val="2"/>
      <scheme val="minor"/>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D9E1F2"/>
        <bgColor indexed="64"/>
      </patternFill>
    </fill>
    <fill>
      <patternFill patternType="solid">
        <fgColor theme="1"/>
        <bgColor indexed="64"/>
      </patternFill>
    </fill>
    <fill>
      <patternFill patternType="solid">
        <fgColor theme="4"/>
        <bgColor indexed="64"/>
      </patternFill>
    </fill>
    <fill>
      <patternFill patternType="solid">
        <fgColor rgb="FF203764"/>
        <bgColor indexed="64"/>
      </patternFill>
    </fill>
    <fill>
      <patternFill patternType="solid">
        <fgColor theme="4" tint="-0.499984740745262"/>
        <bgColor indexed="64"/>
      </patternFill>
    </fill>
    <fill>
      <patternFill patternType="solid">
        <fgColor rgb="FFC0E6F5"/>
        <bgColor indexed="64"/>
      </patternFill>
    </fill>
    <fill>
      <patternFill patternType="solid">
        <fgColor rgb="FF92D050"/>
        <bgColor indexed="64"/>
      </patternFill>
    </fill>
    <fill>
      <patternFill patternType="solid">
        <fgColor rgb="FFF0931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style="medium">
        <color auto="1"/>
      </top>
      <bottom style="medium">
        <color auto="1"/>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4" fillId="0" borderId="0" applyNumberFormat="0" applyFill="0" applyBorder="0" applyAlignment="0" applyProtection="0"/>
  </cellStyleXfs>
  <cellXfs count="58">
    <xf numFmtId="0" fontId="0" fillId="0" borderId="0" xfId="0"/>
    <xf numFmtId="0" fontId="3" fillId="0" borderId="0" xfId="0" applyFont="1"/>
    <xf numFmtId="0" fontId="0" fillId="2" borderId="1" xfId="0"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center" vertical="center"/>
    </xf>
    <xf numFmtId="49" fontId="0" fillId="0" borderId="1" xfId="0" quotePrefix="1" applyNumberFormat="1" applyBorder="1" applyAlignment="1">
      <alignment horizontal="center" vertical="center"/>
    </xf>
    <xf numFmtId="0" fontId="4" fillId="0" borderId="1" xfId="1" applyFill="1" applyBorder="1"/>
    <xf numFmtId="49"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0" fillId="0" borderId="1" xfId="0" applyBorder="1"/>
    <xf numFmtId="0" fontId="1" fillId="0" borderId="0" xfId="0" applyFont="1"/>
    <xf numFmtId="0" fontId="2" fillId="0" borderId="1" xfId="0" applyFont="1" applyBorder="1" applyAlignment="1">
      <alignment horizontal="center" vertical="center" wrapText="1"/>
    </xf>
    <xf numFmtId="0" fontId="2" fillId="0" borderId="0" xfId="0" applyFont="1"/>
    <xf numFmtId="0" fontId="0" fillId="0" borderId="1" xfId="0" quotePrefix="1" applyBorder="1"/>
    <xf numFmtId="14" fontId="0" fillId="0" borderId="0" xfId="0" applyNumberFormat="1"/>
    <xf numFmtId="0" fontId="0" fillId="5" borderId="1" xfId="0" applyFill="1" applyBorder="1"/>
    <xf numFmtId="0" fontId="0" fillId="3" borderId="1" xfId="0" applyFill="1" applyBorder="1" applyAlignment="1">
      <alignment horizontal="center" vertical="center"/>
    </xf>
    <xf numFmtId="0" fontId="0" fillId="2" borderId="1" xfId="0" quotePrefix="1" applyFill="1" applyBorder="1" applyAlignment="1">
      <alignment horizontal="center" vertical="center"/>
    </xf>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3" borderId="0" xfId="0" applyFill="1"/>
    <xf numFmtId="0" fontId="0" fillId="3" borderId="10" xfId="0" applyFill="1" applyBorder="1"/>
    <xf numFmtId="0" fontId="0" fillId="3" borderId="11" xfId="0" applyFill="1" applyBorder="1"/>
    <xf numFmtId="0" fontId="0" fillId="3" borderId="12" xfId="0" applyFill="1" applyBorder="1"/>
    <xf numFmtId="0" fontId="0" fillId="0" borderId="0" xfId="0" quotePrefix="1"/>
    <xf numFmtId="0" fontId="0" fillId="9" borderId="0" xfId="0" applyFill="1"/>
    <xf numFmtId="0" fontId="1" fillId="6"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11" borderId="1" xfId="0" applyFont="1" applyFill="1" applyBorder="1" applyAlignment="1">
      <alignment horizontal="center" vertical="center"/>
    </xf>
    <xf numFmtId="0" fontId="2" fillId="11" borderId="2" xfId="0" applyFont="1" applyFill="1" applyBorder="1" applyAlignment="1">
      <alignment horizontal="center" vertical="center" wrapText="1"/>
    </xf>
    <xf numFmtId="0" fontId="0" fillId="9" borderId="1" xfId="0" applyFill="1" applyBorder="1" applyAlignment="1">
      <alignment horizontal="center" vertical="center"/>
    </xf>
    <xf numFmtId="0" fontId="9" fillId="3" borderId="0" xfId="0" applyFont="1" applyFill="1" applyAlignment="1">
      <alignment vertical="center"/>
    </xf>
    <xf numFmtId="0" fontId="0" fillId="2" borderId="1" xfId="0" applyFill="1" applyBorder="1" applyAlignment="1">
      <alignment horizontal="center" vertical="center" wrapText="1"/>
    </xf>
    <xf numFmtId="0" fontId="17" fillId="0" borderId="0" xfId="0" applyFont="1"/>
    <xf numFmtId="0" fontId="18" fillId="0" borderId="1" xfId="0" applyFont="1" applyBorder="1" applyAlignment="1">
      <alignment horizontal="left" vertical="center"/>
    </xf>
    <xf numFmtId="0" fontId="0" fillId="0" borderId="1" xfId="0" quotePrefix="1" applyBorder="1" applyAlignment="1">
      <alignment horizontal="center" vertical="center" wrapText="1"/>
    </xf>
    <xf numFmtId="164" fontId="0" fillId="0" borderId="1" xfId="0" quotePrefix="1" applyNumberFormat="1" applyBorder="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9" fillId="0" borderId="1" xfId="0" applyFont="1" applyBorder="1" applyAlignment="1">
      <alignment horizontal="center" vertical="center" wrapText="1"/>
    </xf>
    <xf numFmtId="0" fontId="0" fillId="0" borderId="5" xfId="0" applyBorder="1" applyAlignment="1">
      <alignment horizontal="center"/>
    </xf>
    <xf numFmtId="0" fontId="10" fillId="6" borderId="0" xfId="0" applyFont="1" applyFill="1" applyAlignment="1">
      <alignment horizontal="center" vertical="center" wrapText="1"/>
    </xf>
    <xf numFmtId="0" fontId="12" fillId="7" borderId="3" xfId="1" applyFont="1" applyFill="1" applyBorder="1" applyAlignment="1">
      <alignment horizontal="center" vertical="center"/>
    </xf>
    <xf numFmtId="0" fontId="13" fillId="3" borderId="4" xfId="1" applyFont="1" applyFill="1" applyBorder="1" applyAlignment="1">
      <alignment horizontal="center" vertical="center"/>
    </xf>
    <xf numFmtId="0" fontId="14" fillId="4" borderId="3" xfId="1" applyFont="1" applyFill="1" applyBorder="1" applyAlignment="1">
      <alignment horizontal="center" vertical="center"/>
    </xf>
    <xf numFmtId="0" fontId="1" fillId="8" borderId="4" xfId="1" applyFont="1" applyFill="1" applyBorder="1" applyAlignment="1">
      <alignment horizontal="center" vertical="center"/>
    </xf>
    <xf numFmtId="0" fontId="13" fillId="8" borderId="4" xfId="1" applyFont="1" applyFill="1" applyBorder="1" applyAlignment="1">
      <alignment horizontal="center" vertical="center"/>
    </xf>
    <xf numFmtId="0" fontId="9" fillId="3" borderId="0" xfId="0" applyFont="1" applyFill="1" applyAlignment="1">
      <alignment horizontal="center" vertical="center"/>
    </xf>
    <xf numFmtId="0" fontId="0" fillId="3" borderId="0" xfId="0" applyFill="1" applyAlignment="1">
      <alignment horizontal="left" vertical="center" wrapText="1"/>
    </xf>
    <xf numFmtId="0" fontId="3" fillId="9" borderId="0" xfId="0" applyFont="1" applyFill="1" applyAlignment="1">
      <alignment horizontal="center"/>
    </xf>
    <xf numFmtId="0" fontId="0" fillId="3" borderId="8" xfId="0" applyFill="1" applyBorder="1" applyAlignment="1">
      <alignment horizontal="center"/>
    </xf>
    <xf numFmtId="0" fontId="0" fillId="3" borderId="0" xfId="0" applyFill="1" applyAlignment="1">
      <alignment horizontal="center"/>
    </xf>
  </cellXfs>
  <cellStyles count="2">
    <cellStyle name="Hyperlink" xfId="1" builtinId="8"/>
    <cellStyle name="Normal" xfId="0" builtinId="0"/>
  </cellStyles>
  <dxfs count="36">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dxf>
    <dxf>
      <fill>
        <patternFill>
          <bgColor theme="1"/>
        </patternFill>
      </fill>
      <border>
        <left style="thin">
          <color theme="0"/>
        </left>
        <right style="thin">
          <color theme="0"/>
        </right>
        <top style="thin">
          <color theme="0"/>
        </top>
        <bottom style="thin">
          <color theme="0"/>
        </bottom>
      </border>
    </dxf>
    <dxf>
      <fill>
        <patternFill>
          <bgColor theme="1"/>
        </patternFill>
      </fill>
      <border>
        <left style="thin">
          <color theme="0"/>
        </left>
        <right style="thin">
          <color theme="0"/>
        </right>
        <top style="thin">
          <color theme="0"/>
        </top>
        <bottom style="thin">
          <color theme="0"/>
        </bottom>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s>
  <tableStyles count="0" defaultTableStyle="TableStyleMedium2" defaultPivotStyle="PivotStyleLight16"/>
  <colors>
    <mruColors>
      <color rgb="FFC0E6F5"/>
      <color rgb="FFF09319"/>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373380</xdr:colOff>
      <xdr:row>0</xdr:row>
      <xdr:rowOff>38100</xdr:rowOff>
    </xdr:from>
    <xdr:to>
      <xdr:col>4</xdr:col>
      <xdr:colOff>45720</xdr:colOff>
      <xdr:row>1</xdr:row>
      <xdr:rowOff>114300</xdr:rowOff>
    </xdr:to>
    <xdr:sp macro="[0]!input_prep_penawaran" textlink="">
      <xdr:nvSpPr>
        <xdr:cNvPr id="2" name="Rectangle 1">
          <a:extLst>
            <a:ext uri="{FF2B5EF4-FFF2-40B4-BE49-F238E27FC236}">
              <a16:creationId xmlns:a16="http://schemas.microsoft.com/office/drawing/2014/main" id="{60B897C9-A926-4451-8EB3-F5F5A638AFA9}"/>
            </a:ext>
          </a:extLst>
        </xdr:cNvPr>
        <xdr:cNvSpPr/>
      </xdr:nvSpPr>
      <xdr:spPr>
        <a:xfrm>
          <a:off x="3512820" y="38100"/>
          <a:ext cx="1508760" cy="25908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Input Penawaran PrEP</a:t>
          </a:r>
        </a:p>
      </xdr:txBody>
    </xdr:sp>
    <xdr:clientData/>
  </xdr:twoCellAnchor>
  <xdr:twoCellAnchor>
    <xdr:from>
      <xdr:col>2</xdr:col>
      <xdr:colOff>586740</xdr:colOff>
      <xdr:row>0</xdr:row>
      <xdr:rowOff>38100</xdr:rowOff>
    </xdr:from>
    <xdr:to>
      <xdr:col>2</xdr:col>
      <xdr:colOff>1531620</xdr:colOff>
      <xdr:row>1</xdr:row>
      <xdr:rowOff>114300</xdr:rowOff>
    </xdr:to>
    <xdr:sp macro="[0]!validasi_prep_tawar" textlink="">
      <xdr:nvSpPr>
        <xdr:cNvPr id="3" name="Rectangle 2">
          <a:extLst>
            <a:ext uri="{FF2B5EF4-FFF2-40B4-BE49-F238E27FC236}">
              <a16:creationId xmlns:a16="http://schemas.microsoft.com/office/drawing/2014/main" id="{8061D403-7810-4E39-9634-A9FFB2E4A32A}"/>
            </a:ext>
          </a:extLst>
        </xdr:cNvPr>
        <xdr:cNvSpPr/>
      </xdr:nvSpPr>
      <xdr:spPr>
        <a:xfrm>
          <a:off x="2171700" y="38100"/>
          <a:ext cx="944880"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0</xdr:colOff>
      <xdr:row>0</xdr:row>
      <xdr:rowOff>38100</xdr:rowOff>
    </xdr:from>
    <xdr:to>
      <xdr:col>2</xdr:col>
      <xdr:colOff>335280</xdr:colOff>
      <xdr:row>1</xdr:row>
      <xdr:rowOff>114300</xdr:rowOff>
    </xdr:to>
    <xdr:sp macro="[0]!feature_tambah_format_row" textlink="">
      <xdr:nvSpPr>
        <xdr:cNvPr id="4" name="Rectangle 3">
          <a:extLst>
            <a:ext uri="{FF2B5EF4-FFF2-40B4-BE49-F238E27FC236}">
              <a16:creationId xmlns:a16="http://schemas.microsoft.com/office/drawing/2014/main" id="{6D9AC92D-88EF-4065-BB92-BD481151264B}"/>
            </a:ext>
          </a:extLst>
        </xdr:cNvPr>
        <xdr:cNvSpPr/>
      </xdr:nvSpPr>
      <xdr:spPr>
        <a:xfrm>
          <a:off x="609600" y="38100"/>
          <a:ext cx="107442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15240</xdr:colOff>
      <xdr:row>0</xdr:row>
      <xdr:rowOff>38100</xdr:rowOff>
    </xdr:from>
    <xdr:to>
      <xdr:col>0</xdr:col>
      <xdr:colOff>579120</xdr:colOff>
      <xdr:row>1</xdr:row>
      <xdr:rowOff>114300</xdr:rowOff>
    </xdr:to>
    <xdr:sp macro="[0]!menu_main" textlink="">
      <xdr:nvSpPr>
        <xdr:cNvPr id="5" name="Rectangle 4">
          <a:extLst>
            <a:ext uri="{FF2B5EF4-FFF2-40B4-BE49-F238E27FC236}">
              <a16:creationId xmlns:a16="http://schemas.microsoft.com/office/drawing/2014/main" id="{8209F809-5BD9-4911-869D-C87FBFB8A18A}"/>
            </a:ext>
          </a:extLst>
        </xdr:cNvPr>
        <xdr:cNvSpPr/>
      </xdr:nvSpPr>
      <xdr:spPr>
        <a:xfrm>
          <a:off x="15240" y="3810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2539</xdr:colOff>
      <xdr:row>0</xdr:row>
      <xdr:rowOff>27940</xdr:rowOff>
    </xdr:from>
    <xdr:to>
      <xdr:col>5</xdr:col>
      <xdr:colOff>262465</xdr:colOff>
      <xdr:row>1</xdr:row>
      <xdr:rowOff>101600</xdr:rowOff>
    </xdr:to>
    <xdr:sp macro="[0]!input_prep_klien_baru" textlink="">
      <xdr:nvSpPr>
        <xdr:cNvPr id="2" name="Rectangle 1">
          <a:extLst>
            <a:ext uri="{FF2B5EF4-FFF2-40B4-BE49-F238E27FC236}">
              <a16:creationId xmlns:a16="http://schemas.microsoft.com/office/drawing/2014/main" id="{80C06807-3DE9-4C1B-88CA-1DA3AA140FC7}"/>
            </a:ext>
          </a:extLst>
        </xdr:cNvPr>
        <xdr:cNvSpPr/>
      </xdr:nvSpPr>
      <xdr:spPr>
        <a:xfrm>
          <a:off x="3634739" y="27940"/>
          <a:ext cx="1589193" cy="259927"/>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Klien</a:t>
          </a:r>
          <a:r>
            <a:rPr lang="en-ID" sz="1100" baseline="0"/>
            <a:t> Baru</a:t>
          </a:r>
          <a:endParaRPr lang="en-ID" sz="1100"/>
        </a:p>
      </xdr:txBody>
    </xdr:sp>
    <xdr:clientData/>
  </xdr:twoCellAnchor>
  <xdr:twoCellAnchor>
    <xdr:from>
      <xdr:col>2</xdr:col>
      <xdr:colOff>886460</xdr:colOff>
      <xdr:row>0</xdr:row>
      <xdr:rowOff>27940</xdr:rowOff>
    </xdr:from>
    <xdr:to>
      <xdr:col>3</xdr:col>
      <xdr:colOff>769620</xdr:colOff>
      <xdr:row>1</xdr:row>
      <xdr:rowOff>104140</xdr:rowOff>
    </xdr:to>
    <xdr:sp macro="[0]!validasi_prep_klien_baru" textlink="">
      <xdr:nvSpPr>
        <xdr:cNvPr id="3" name="Rectangle 2">
          <a:extLst>
            <a:ext uri="{FF2B5EF4-FFF2-40B4-BE49-F238E27FC236}">
              <a16:creationId xmlns:a16="http://schemas.microsoft.com/office/drawing/2014/main" id="{C009F783-1E75-4403-9E55-7B59151F5393}"/>
            </a:ext>
          </a:extLst>
        </xdr:cNvPr>
        <xdr:cNvSpPr/>
      </xdr:nvSpPr>
      <xdr:spPr>
        <a:xfrm>
          <a:off x="2341880" y="27940"/>
          <a:ext cx="995680"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7620</xdr:colOff>
      <xdr:row>0</xdr:row>
      <xdr:rowOff>30480</xdr:rowOff>
    </xdr:from>
    <xdr:to>
      <xdr:col>2</xdr:col>
      <xdr:colOff>297180</xdr:colOff>
      <xdr:row>1</xdr:row>
      <xdr:rowOff>106680</xdr:rowOff>
    </xdr:to>
    <xdr:sp macro="[0]!feature_tambah_format_row" textlink="">
      <xdr:nvSpPr>
        <xdr:cNvPr id="4" name="Rectangle 3">
          <a:extLst>
            <a:ext uri="{FF2B5EF4-FFF2-40B4-BE49-F238E27FC236}">
              <a16:creationId xmlns:a16="http://schemas.microsoft.com/office/drawing/2014/main" id="{CCBE9CEF-2293-4305-9A46-E2B37D12285E}"/>
            </a:ext>
          </a:extLst>
        </xdr:cNvPr>
        <xdr:cNvSpPr/>
      </xdr:nvSpPr>
      <xdr:spPr>
        <a:xfrm>
          <a:off x="617220" y="3048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22860</xdr:colOff>
      <xdr:row>0</xdr:row>
      <xdr:rowOff>30480</xdr:rowOff>
    </xdr:from>
    <xdr:to>
      <xdr:col>0</xdr:col>
      <xdr:colOff>586740</xdr:colOff>
      <xdr:row>1</xdr:row>
      <xdr:rowOff>106680</xdr:rowOff>
    </xdr:to>
    <xdr:sp macro="[0]!menu_main" textlink="">
      <xdr:nvSpPr>
        <xdr:cNvPr id="5" name="Rectangle 4">
          <a:extLst>
            <a:ext uri="{FF2B5EF4-FFF2-40B4-BE49-F238E27FC236}">
              <a16:creationId xmlns:a16="http://schemas.microsoft.com/office/drawing/2014/main" id="{11EB5A62-1568-47F8-82D1-FFABAF0A4402}"/>
            </a:ext>
          </a:extLst>
        </xdr:cNvPr>
        <xdr:cNvSpPr/>
      </xdr:nvSpPr>
      <xdr:spPr>
        <a:xfrm>
          <a:off x="22860" y="3048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468912</xdr:colOff>
      <xdr:row>0</xdr:row>
      <xdr:rowOff>35169</xdr:rowOff>
    </xdr:from>
    <xdr:to>
      <xdr:col>4</xdr:col>
      <xdr:colOff>143010</xdr:colOff>
      <xdr:row>1</xdr:row>
      <xdr:rowOff>111369</xdr:rowOff>
    </xdr:to>
    <xdr:sp macro="[0]!input_prep_kunjungan_baru" textlink="">
      <xdr:nvSpPr>
        <xdr:cNvPr id="2" name="Rectangle 1">
          <a:extLst>
            <a:ext uri="{FF2B5EF4-FFF2-40B4-BE49-F238E27FC236}">
              <a16:creationId xmlns:a16="http://schemas.microsoft.com/office/drawing/2014/main" id="{741B1141-8156-4F98-B5BF-5861D0122010}"/>
            </a:ext>
          </a:extLst>
        </xdr:cNvPr>
        <xdr:cNvSpPr/>
      </xdr:nvSpPr>
      <xdr:spPr>
        <a:xfrm>
          <a:off x="3604835" y="35169"/>
          <a:ext cx="1508760" cy="257908"/>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Kunjungan</a:t>
          </a:r>
        </a:p>
      </xdr:txBody>
    </xdr:sp>
    <xdr:clientData/>
  </xdr:twoCellAnchor>
  <xdr:twoCellAnchor>
    <xdr:from>
      <xdr:col>2</xdr:col>
      <xdr:colOff>760240</xdr:colOff>
      <xdr:row>0</xdr:row>
      <xdr:rowOff>35168</xdr:rowOff>
    </xdr:from>
    <xdr:to>
      <xdr:col>3</xdr:col>
      <xdr:colOff>181707</xdr:colOff>
      <xdr:row>1</xdr:row>
      <xdr:rowOff>111368</xdr:rowOff>
    </xdr:to>
    <xdr:sp macro="[0]!validasi_prep_kunjungan_baru" textlink="">
      <xdr:nvSpPr>
        <xdr:cNvPr id="3" name="Rectangle 2">
          <a:extLst>
            <a:ext uri="{FF2B5EF4-FFF2-40B4-BE49-F238E27FC236}">
              <a16:creationId xmlns:a16="http://schemas.microsoft.com/office/drawing/2014/main" id="{F8C909C7-43B7-4932-A094-07B95782CA8B}"/>
            </a:ext>
          </a:extLst>
        </xdr:cNvPr>
        <xdr:cNvSpPr/>
      </xdr:nvSpPr>
      <xdr:spPr>
        <a:xfrm>
          <a:off x="2342855" y="35168"/>
          <a:ext cx="974775" cy="25790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592018</xdr:colOff>
      <xdr:row>0</xdr:row>
      <xdr:rowOff>35170</xdr:rowOff>
    </xdr:from>
    <xdr:to>
      <xdr:col>2</xdr:col>
      <xdr:colOff>144783</xdr:colOff>
      <xdr:row>1</xdr:row>
      <xdr:rowOff>112542</xdr:rowOff>
    </xdr:to>
    <xdr:sp macro="[0]!feature_tambah_format_row" textlink="">
      <xdr:nvSpPr>
        <xdr:cNvPr id="4" name="Rectangle 3">
          <a:extLst>
            <a:ext uri="{FF2B5EF4-FFF2-40B4-BE49-F238E27FC236}">
              <a16:creationId xmlns:a16="http://schemas.microsoft.com/office/drawing/2014/main" id="{AFD53108-25CA-42FA-A50F-A96235DFF818}"/>
            </a:ext>
          </a:extLst>
        </xdr:cNvPr>
        <xdr:cNvSpPr/>
      </xdr:nvSpPr>
      <xdr:spPr>
        <a:xfrm>
          <a:off x="592018" y="3517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35172</xdr:rowOff>
    </xdr:from>
    <xdr:to>
      <xdr:col>0</xdr:col>
      <xdr:colOff>563880</xdr:colOff>
      <xdr:row>1</xdr:row>
      <xdr:rowOff>112544</xdr:rowOff>
    </xdr:to>
    <xdr:sp macro="[0]!menu_main" textlink="">
      <xdr:nvSpPr>
        <xdr:cNvPr id="5" name="Rectangle 4">
          <a:extLst>
            <a:ext uri="{FF2B5EF4-FFF2-40B4-BE49-F238E27FC236}">
              <a16:creationId xmlns:a16="http://schemas.microsoft.com/office/drawing/2014/main" id="{C1B56F7C-A1C2-4B66-BACE-D884AA5F7D38}"/>
            </a:ext>
          </a:extLst>
        </xdr:cNvPr>
        <xdr:cNvSpPr/>
      </xdr:nvSpPr>
      <xdr:spPr>
        <a:xfrm>
          <a:off x="0" y="35172"/>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16936</xdr:colOff>
      <xdr:row>0</xdr:row>
      <xdr:rowOff>8466</xdr:rowOff>
    </xdr:from>
    <xdr:to>
      <xdr:col>5</xdr:col>
      <xdr:colOff>281940</xdr:colOff>
      <xdr:row>0</xdr:row>
      <xdr:rowOff>278097</xdr:rowOff>
    </xdr:to>
    <xdr:sp macro="[0]!input_prep_memulai_prep" textlink="">
      <xdr:nvSpPr>
        <xdr:cNvPr id="2" name="Rectangle 1">
          <a:extLst>
            <a:ext uri="{FF2B5EF4-FFF2-40B4-BE49-F238E27FC236}">
              <a16:creationId xmlns:a16="http://schemas.microsoft.com/office/drawing/2014/main" id="{6BB6619D-2B09-4D27-B57E-E6EAFCEC16CB}"/>
            </a:ext>
          </a:extLst>
        </xdr:cNvPr>
        <xdr:cNvSpPr/>
      </xdr:nvSpPr>
      <xdr:spPr>
        <a:xfrm>
          <a:off x="4390816" y="8466"/>
          <a:ext cx="1575644" cy="269631"/>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Memulai PrEP</a:t>
          </a:r>
        </a:p>
      </xdr:txBody>
    </xdr:sp>
    <xdr:clientData/>
  </xdr:twoCellAnchor>
  <xdr:twoCellAnchor>
    <xdr:from>
      <xdr:col>3</xdr:col>
      <xdr:colOff>42322</xdr:colOff>
      <xdr:row>0</xdr:row>
      <xdr:rowOff>16932</xdr:rowOff>
    </xdr:from>
    <xdr:to>
      <xdr:col>3</xdr:col>
      <xdr:colOff>1032921</xdr:colOff>
      <xdr:row>0</xdr:row>
      <xdr:rowOff>274320</xdr:rowOff>
    </xdr:to>
    <xdr:sp macro="[0]!validasi_prep_mulai_baru" textlink="">
      <xdr:nvSpPr>
        <xdr:cNvPr id="3" name="Rectangle 2">
          <a:extLst>
            <a:ext uri="{FF2B5EF4-FFF2-40B4-BE49-F238E27FC236}">
              <a16:creationId xmlns:a16="http://schemas.microsoft.com/office/drawing/2014/main" id="{7B5762DC-C6E8-44C6-A257-B22DA28D77E6}"/>
            </a:ext>
          </a:extLst>
        </xdr:cNvPr>
        <xdr:cNvSpPr/>
      </xdr:nvSpPr>
      <xdr:spPr>
        <a:xfrm>
          <a:off x="2907442" y="16932"/>
          <a:ext cx="990599" cy="25738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185407</xdr:colOff>
      <xdr:row>0</xdr:row>
      <xdr:rowOff>16934</xdr:rowOff>
    </xdr:from>
    <xdr:to>
      <xdr:col>2</xdr:col>
      <xdr:colOff>335280</xdr:colOff>
      <xdr:row>0</xdr:row>
      <xdr:rowOff>279400</xdr:rowOff>
    </xdr:to>
    <xdr:sp macro="[0]!feature_tambah_format_row" textlink="">
      <xdr:nvSpPr>
        <xdr:cNvPr id="4" name="Rectangle 3">
          <a:extLst>
            <a:ext uri="{FF2B5EF4-FFF2-40B4-BE49-F238E27FC236}">
              <a16:creationId xmlns:a16="http://schemas.microsoft.com/office/drawing/2014/main" id="{4519E107-AA4C-477E-8ED4-01087EEA549B}"/>
            </a:ext>
          </a:extLst>
        </xdr:cNvPr>
        <xdr:cNvSpPr/>
      </xdr:nvSpPr>
      <xdr:spPr>
        <a:xfrm>
          <a:off x="612127" y="16934"/>
          <a:ext cx="1079513" cy="262466"/>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16938</xdr:colOff>
      <xdr:row>0</xdr:row>
      <xdr:rowOff>16934</xdr:rowOff>
    </xdr:from>
    <xdr:to>
      <xdr:col>1</xdr:col>
      <xdr:colOff>157485</xdr:colOff>
      <xdr:row>0</xdr:row>
      <xdr:rowOff>276014</xdr:rowOff>
    </xdr:to>
    <xdr:sp macro="[0]!menu_main" textlink="">
      <xdr:nvSpPr>
        <xdr:cNvPr id="5" name="Rectangle 4">
          <a:extLst>
            <a:ext uri="{FF2B5EF4-FFF2-40B4-BE49-F238E27FC236}">
              <a16:creationId xmlns:a16="http://schemas.microsoft.com/office/drawing/2014/main" id="{EC97F5BE-52D1-4CF9-A7AB-7A776AF5E669}"/>
            </a:ext>
          </a:extLst>
        </xdr:cNvPr>
        <xdr:cNvSpPr/>
      </xdr:nvSpPr>
      <xdr:spPr>
        <a:xfrm>
          <a:off x="16938" y="16934"/>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15240</xdr:colOff>
      <xdr:row>0</xdr:row>
      <xdr:rowOff>30480</xdr:rowOff>
    </xdr:from>
    <xdr:to>
      <xdr:col>6</xdr:col>
      <xdr:colOff>251460</xdr:colOff>
      <xdr:row>0</xdr:row>
      <xdr:rowOff>281940</xdr:rowOff>
    </xdr:to>
    <xdr:sp macro="[0]!input_prep_kunjungan_rutin" textlink="">
      <xdr:nvSpPr>
        <xdr:cNvPr id="2" name="Rectangle 1">
          <a:extLst>
            <a:ext uri="{FF2B5EF4-FFF2-40B4-BE49-F238E27FC236}">
              <a16:creationId xmlns:a16="http://schemas.microsoft.com/office/drawing/2014/main" id="{2FD9428A-89B0-4410-9B2E-5A631BD9CB3B}"/>
            </a:ext>
          </a:extLst>
        </xdr:cNvPr>
        <xdr:cNvSpPr/>
      </xdr:nvSpPr>
      <xdr:spPr>
        <a:xfrm>
          <a:off x="5227320" y="30480"/>
          <a:ext cx="1386840" cy="25146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Rutin PrEP</a:t>
          </a:r>
        </a:p>
      </xdr:txBody>
    </xdr:sp>
    <xdr:clientData/>
  </xdr:twoCellAnchor>
  <xdr:twoCellAnchor>
    <xdr:from>
      <xdr:col>4</xdr:col>
      <xdr:colOff>22860</xdr:colOff>
      <xdr:row>0</xdr:row>
      <xdr:rowOff>30480</xdr:rowOff>
    </xdr:from>
    <xdr:to>
      <xdr:col>4</xdr:col>
      <xdr:colOff>975360</xdr:colOff>
      <xdr:row>0</xdr:row>
      <xdr:rowOff>288388</xdr:rowOff>
    </xdr:to>
    <xdr:sp macro="[0]!validasi_prep_kunj_rutin" textlink="">
      <xdr:nvSpPr>
        <xdr:cNvPr id="3" name="Rectangle 2">
          <a:extLst>
            <a:ext uri="{FF2B5EF4-FFF2-40B4-BE49-F238E27FC236}">
              <a16:creationId xmlns:a16="http://schemas.microsoft.com/office/drawing/2014/main" id="{D85138FD-791F-4EFB-8FEE-F966F560B24B}"/>
            </a:ext>
          </a:extLst>
        </xdr:cNvPr>
        <xdr:cNvSpPr/>
      </xdr:nvSpPr>
      <xdr:spPr>
        <a:xfrm>
          <a:off x="3992880" y="30480"/>
          <a:ext cx="952500" cy="25790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2</xdr:col>
      <xdr:colOff>381000</xdr:colOff>
      <xdr:row>0</xdr:row>
      <xdr:rowOff>30480</xdr:rowOff>
    </xdr:from>
    <xdr:to>
      <xdr:col>3</xdr:col>
      <xdr:colOff>144780</xdr:colOff>
      <xdr:row>0</xdr:row>
      <xdr:rowOff>288388</xdr:rowOff>
    </xdr:to>
    <xdr:sp macro="[0]!feature_info_kunj_terakhir" textlink="">
      <xdr:nvSpPr>
        <xdr:cNvPr id="4" name="Rectangle 3">
          <a:extLst>
            <a:ext uri="{FF2B5EF4-FFF2-40B4-BE49-F238E27FC236}">
              <a16:creationId xmlns:a16="http://schemas.microsoft.com/office/drawing/2014/main" id="{7EEAE6B1-81C0-42B3-9F1D-C080911DD3AF}"/>
            </a:ext>
          </a:extLst>
        </xdr:cNvPr>
        <xdr:cNvSpPr/>
      </xdr:nvSpPr>
      <xdr:spPr>
        <a:xfrm>
          <a:off x="1706880" y="30480"/>
          <a:ext cx="1531620" cy="257908"/>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Info Kunjungan</a:t>
          </a:r>
          <a:r>
            <a:rPr lang="en-ID" sz="1100" baseline="0"/>
            <a:t> Terakhir</a:t>
          </a:r>
          <a:endParaRPr lang="en-ID" sz="1100"/>
        </a:p>
      </xdr:txBody>
    </xdr:sp>
    <xdr:clientData/>
  </xdr:twoCellAnchor>
  <xdr:twoCellAnchor>
    <xdr:from>
      <xdr:col>1</xdr:col>
      <xdr:colOff>198120</xdr:colOff>
      <xdr:row>0</xdr:row>
      <xdr:rowOff>30480</xdr:rowOff>
    </xdr:from>
    <xdr:to>
      <xdr:col>2</xdr:col>
      <xdr:colOff>350520</xdr:colOff>
      <xdr:row>0</xdr:row>
      <xdr:rowOff>289560</xdr:rowOff>
    </xdr:to>
    <xdr:sp macro="[0]!feature_tambah_format_row" textlink="">
      <xdr:nvSpPr>
        <xdr:cNvPr id="5" name="Rectangle 4">
          <a:extLst>
            <a:ext uri="{FF2B5EF4-FFF2-40B4-BE49-F238E27FC236}">
              <a16:creationId xmlns:a16="http://schemas.microsoft.com/office/drawing/2014/main" id="{D83F153B-F0A9-4F4D-A8DB-4E824D2B2127}"/>
            </a:ext>
          </a:extLst>
        </xdr:cNvPr>
        <xdr:cNvSpPr/>
      </xdr:nvSpPr>
      <xdr:spPr>
        <a:xfrm>
          <a:off x="579120" y="30480"/>
          <a:ext cx="10972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30480</xdr:rowOff>
    </xdr:from>
    <xdr:to>
      <xdr:col>1</xdr:col>
      <xdr:colOff>167640</xdr:colOff>
      <xdr:row>0</xdr:row>
      <xdr:rowOff>289560</xdr:rowOff>
    </xdr:to>
    <xdr:sp macro="[0]!menu_main" textlink="">
      <xdr:nvSpPr>
        <xdr:cNvPr id="6" name="Rectangle 5">
          <a:extLst>
            <a:ext uri="{FF2B5EF4-FFF2-40B4-BE49-F238E27FC236}">
              <a16:creationId xmlns:a16="http://schemas.microsoft.com/office/drawing/2014/main" id="{7BC6D712-C26B-45E4-9207-FE30C4C6D04F}"/>
            </a:ext>
          </a:extLst>
        </xdr:cNvPr>
        <xdr:cNvSpPr/>
      </xdr:nvSpPr>
      <xdr:spPr>
        <a:xfrm>
          <a:off x="0" y="30480"/>
          <a:ext cx="54864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388620</xdr:colOff>
      <xdr:row>0</xdr:row>
      <xdr:rowOff>30480</xdr:rowOff>
    </xdr:from>
    <xdr:to>
      <xdr:col>7</xdr:col>
      <xdr:colOff>579120</xdr:colOff>
      <xdr:row>0</xdr:row>
      <xdr:rowOff>281940</xdr:rowOff>
    </xdr:to>
    <xdr:sp macro="[0]!input_prep_kunjungan_rutin_insidental" textlink="">
      <xdr:nvSpPr>
        <xdr:cNvPr id="2" name="Rectangle 1">
          <a:extLst>
            <a:ext uri="{FF2B5EF4-FFF2-40B4-BE49-F238E27FC236}">
              <a16:creationId xmlns:a16="http://schemas.microsoft.com/office/drawing/2014/main" id="{6AD3CFDA-6AD5-4C31-9051-B3731DA0DA83}"/>
            </a:ext>
          </a:extLst>
        </xdr:cNvPr>
        <xdr:cNvSpPr/>
      </xdr:nvSpPr>
      <xdr:spPr>
        <a:xfrm>
          <a:off x="3840480" y="30480"/>
          <a:ext cx="1676400" cy="25146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Insidental PrEP</a:t>
          </a:r>
        </a:p>
      </xdr:txBody>
    </xdr:sp>
    <xdr:clientData/>
  </xdr:twoCellAnchor>
  <xdr:twoCellAnchor>
    <xdr:from>
      <xdr:col>2</xdr:col>
      <xdr:colOff>1066800</xdr:colOff>
      <xdr:row>0</xdr:row>
      <xdr:rowOff>30480</xdr:rowOff>
    </xdr:from>
    <xdr:to>
      <xdr:col>5</xdr:col>
      <xdr:colOff>114300</xdr:colOff>
      <xdr:row>0</xdr:row>
      <xdr:rowOff>288388</xdr:rowOff>
    </xdr:to>
    <xdr:sp macro="[0]!validasi_prep_kunj_insi" textlink="">
      <xdr:nvSpPr>
        <xdr:cNvPr id="3" name="Rectangle 2">
          <a:extLst>
            <a:ext uri="{FF2B5EF4-FFF2-40B4-BE49-F238E27FC236}">
              <a16:creationId xmlns:a16="http://schemas.microsoft.com/office/drawing/2014/main" id="{566A749C-6CD8-42EB-ACF6-5F9EDA8D6C91}"/>
            </a:ext>
          </a:extLst>
        </xdr:cNvPr>
        <xdr:cNvSpPr/>
      </xdr:nvSpPr>
      <xdr:spPr>
        <a:xfrm>
          <a:off x="2286000" y="30480"/>
          <a:ext cx="1066800" cy="257908"/>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594360</xdr:colOff>
      <xdr:row>0</xdr:row>
      <xdr:rowOff>30480</xdr:rowOff>
    </xdr:from>
    <xdr:to>
      <xdr:col>2</xdr:col>
      <xdr:colOff>510540</xdr:colOff>
      <xdr:row>0</xdr:row>
      <xdr:rowOff>289560</xdr:rowOff>
    </xdr:to>
    <xdr:sp macro="[0]!feature_tambah_format_row" textlink="">
      <xdr:nvSpPr>
        <xdr:cNvPr id="4" name="Rectangle 3">
          <a:extLst>
            <a:ext uri="{FF2B5EF4-FFF2-40B4-BE49-F238E27FC236}">
              <a16:creationId xmlns:a16="http://schemas.microsoft.com/office/drawing/2014/main" id="{6B3E5727-6484-4E2D-A742-2BB9D35D4737}"/>
            </a:ext>
          </a:extLst>
        </xdr:cNvPr>
        <xdr:cNvSpPr/>
      </xdr:nvSpPr>
      <xdr:spPr>
        <a:xfrm>
          <a:off x="594360" y="3048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30480</xdr:rowOff>
    </xdr:from>
    <xdr:to>
      <xdr:col>0</xdr:col>
      <xdr:colOff>563880</xdr:colOff>
      <xdr:row>0</xdr:row>
      <xdr:rowOff>289560</xdr:rowOff>
    </xdr:to>
    <xdr:sp macro="[0]!menu_main" textlink="">
      <xdr:nvSpPr>
        <xdr:cNvPr id="5" name="Rectangle 4">
          <a:extLst>
            <a:ext uri="{FF2B5EF4-FFF2-40B4-BE49-F238E27FC236}">
              <a16:creationId xmlns:a16="http://schemas.microsoft.com/office/drawing/2014/main" id="{4CA15303-22F5-4C9D-8625-112155A9D6AB}"/>
            </a:ext>
          </a:extLst>
        </xdr:cNvPr>
        <xdr:cNvSpPr/>
      </xdr:nvSpPr>
      <xdr:spPr>
        <a:xfrm>
          <a:off x="0" y="3048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252047</xdr:colOff>
      <xdr:row>0</xdr:row>
      <xdr:rowOff>35169</xdr:rowOff>
    </xdr:from>
    <xdr:to>
      <xdr:col>4</xdr:col>
      <xdr:colOff>1760220</xdr:colOff>
      <xdr:row>1</xdr:row>
      <xdr:rowOff>111369</xdr:rowOff>
    </xdr:to>
    <xdr:sp macro="[0]!input_prep_pemberian_obat" textlink="">
      <xdr:nvSpPr>
        <xdr:cNvPr id="2" name="Rectangle 1">
          <a:extLst>
            <a:ext uri="{FF2B5EF4-FFF2-40B4-BE49-F238E27FC236}">
              <a16:creationId xmlns:a16="http://schemas.microsoft.com/office/drawing/2014/main" id="{79F07BE2-5160-4565-9332-B2BCBCF7C28F}"/>
            </a:ext>
          </a:extLst>
        </xdr:cNvPr>
        <xdr:cNvSpPr/>
      </xdr:nvSpPr>
      <xdr:spPr>
        <a:xfrm>
          <a:off x="5227907" y="35169"/>
          <a:ext cx="1508173" cy="25908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Pemberian</a:t>
          </a:r>
          <a:r>
            <a:rPr lang="en-ID" sz="1100" baseline="0"/>
            <a:t> Obat</a:t>
          </a:r>
          <a:r>
            <a:rPr lang="en-ID" sz="1100"/>
            <a:t> PrEP</a:t>
          </a:r>
        </a:p>
      </xdr:txBody>
    </xdr:sp>
    <xdr:clientData/>
  </xdr:twoCellAnchor>
  <xdr:twoCellAnchor>
    <xdr:from>
      <xdr:col>3</xdr:col>
      <xdr:colOff>738553</xdr:colOff>
      <xdr:row>0</xdr:row>
      <xdr:rowOff>35168</xdr:rowOff>
    </xdr:from>
    <xdr:to>
      <xdr:col>3</xdr:col>
      <xdr:colOff>1713328</xdr:colOff>
      <xdr:row>1</xdr:row>
      <xdr:rowOff>111368</xdr:rowOff>
    </xdr:to>
    <xdr:sp macro="[0]!validasi_prep_obat" textlink="">
      <xdr:nvSpPr>
        <xdr:cNvPr id="3" name="Rectangle 2">
          <a:extLst>
            <a:ext uri="{FF2B5EF4-FFF2-40B4-BE49-F238E27FC236}">
              <a16:creationId xmlns:a16="http://schemas.microsoft.com/office/drawing/2014/main" id="{1327711C-923C-4313-A1F5-A3385B25D2ED}"/>
            </a:ext>
          </a:extLst>
        </xdr:cNvPr>
        <xdr:cNvSpPr/>
      </xdr:nvSpPr>
      <xdr:spPr>
        <a:xfrm>
          <a:off x="3877993" y="35168"/>
          <a:ext cx="974775"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590843</xdr:colOff>
      <xdr:row>0</xdr:row>
      <xdr:rowOff>35170</xdr:rowOff>
    </xdr:from>
    <xdr:to>
      <xdr:col>2</xdr:col>
      <xdr:colOff>143021</xdr:colOff>
      <xdr:row>1</xdr:row>
      <xdr:rowOff>112542</xdr:rowOff>
    </xdr:to>
    <xdr:sp macro="[0]!feature_tambah_format_row" textlink="">
      <xdr:nvSpPr>
        <xdr:cNvPr id="4" name="Rectangle 3">
          <a:extLst>
            <a:ext uri="{FF2B5EF4-FFF2-40B4-BE49-F238E27FC236}">
              <a16:creationId xmlns:a16="http://schemas.microsoft.com/office/drawing/2014/main" id="{3CF41F81-6FD4-401E-8F88-7F1E2F151DAD}"/>
            </a:ext>
          </a:extLst>
        </xdr:cNvPr>
        <xdr:cNvSpPr/>
      </xdr:nvSpPr>
      <xdr:spPr>
        <a:xfrm>
          <a:off x="590843" y="35170"/>
          <a:ext cx="1137138" cy="26025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2</xdr:col>
      <xdr:colOff>175846</xdr:colOff>
      <xdr:row>0</xdr:row>
      <xdr:rowOff>35169</xdr:rowOff>
    </xdr:from>
    <xdr:to>
      <xdr:col>3</xdr:col>
      <xdr:colOff>243840</xdr:colOff>
      <xdr:row>1</xdr:row>
      <xdr:rowOff>111369</xdr:rowOff>
    </xdr:to>
    <xdr:sp macro="[0]!info_obat_diinput_dokter" textlink="">
      <xdr:nvSpPr>
        <xdr:cNvPr id="5" name="Rectangle 4">
          <a:extLst>
            <a:ext uri="{FF2B5EF4-FFF2-40B4-BE49-F238E27FC236}">
              <a16:creationId xmlns:a16="http://schemas.microsoft.com/office/drawing/2014/main" id="{BBF28F01-8A79-4EF6-BBB8-DED3BF5FB841}"/>
            </a:ext>
          </a:extLst>
        </xdr:cNvPr>
        <xdr:cNvSpPr/>
      </xdr:nvSpPr>
      <xdr:spPr>
        <a:xfrm>
          <a:off x="1760806" y="35169"/>
          <a:ext cx="1622474"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Info Obat Diinput Dokter</a:t>
          </a:r>
        </a:p>
      </xdr:txBody>
    </xdr:sp>
    <xdr:clientData/>
  </xdr:twoCellAnchor>
  <xdr:twoCellAnchor>
    <xdr:from>
      <xdr:col>0</xdr:col>
      <xdr:colOff>0</xdr:colOff>
      <xdr:row>0</xdr:row>
      <xdr:rowOff>38100</xdr:rowOff>
    </xdr:from>
    <xdr:to>
      <xdr:col>0</xdr:col>
      <xdr:colOff>563880</xdr:colOff>
      <xdr:row>1</xdr:row>
      <xdr:rowOff>114300</xdr:rowOff>
    </xdr:to>
    <xdr:sp macro="[0]!menu_main" textlink="">
      <xdr:nvSpPr>
        <xdr:cNvPr id="6" name="Rectangle 5">
          <a:extLst>
            <a:ext uri="{FF2B5EF4-FFF2-40B4-BE49-F238E27FC236}">
              <a16:creationId xmlns:a16="http://schemas.microsoft.com/office/drawing/2014/main" id="{4A5C9C36-F507-4264-AB0A-20AC61852026}"/>
            </a:ext>
          </a:extLst>
        </xdr:cNvPr>
        <xdr:cNvSpPr/>
      </xdr:nvSpPr>
      <xdr:spPr>
        <a:xfrm>
          <a:off x="0" y="3810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45720</xdr:colOff>
      <xdr:row>33</xdr:row>
      <xdr:rowOff>129540</xdr:rowOff>
    </xdr:from>
    <xdr:to>
      <xdr:col>2</xdr:col>
      <xdr:colOff>1005840</xdr:colOff>
      <xdr:row>40</xdr:row>
      <xdr:rowOff>45720</xdr:rowOff>
    </xdr:to>
    <xdr:grpSp>
      <xdr:nvGrpSpPr>
        <xdr:cNvPr id="2" name="menu_rpa1">
          <a:extLst>
            <a:ext uri="{FF2B5EF4-FFF2-40B4-BE49-F238E27FC236}">
              <a16:creationId xmlns:a16="http://schemas.microsoft.com/office/drawing/2014/main" id="{771129F8-C968-48DA-8899-29C2B6210E42}"/>
            </a:ext>
          </a:extLst>
        </xdr:cNvPr>
        <xdr:cNvGrpSpPr/>
      </xdr:nvGrpSpPr>
      <xdr:grpSpPr>
        <a:xfrm>
          <a:off x="193887" y="2274429"/>
          <a:ext cx="1073009" cy="1200291"/>
          <a:chOff x="662940" y="2415540"/>
          <a:chExt cx="1074420" cy="1196340"/>
        </a:xfrm>
      </xdr:grpSpPr>
      <xdr:pic macro="[0]!menu_rpa">
        <xdr:nvPicPr>
          <xdr:cNvPr id="3" name="Picture 2" descr="Offer Service Icons - Free SVG &amp; PNG Offer Service Images - Noun Project">
            <a:extLst>
              <a:ext uri="{FF2B5EF4-FFF2-40B4-BE49-F238E27FC236}">
                <a16:creationId xmlns:a16="http://schemas.microsoft.com/office/drawing/2014/main" id="{393D2902-593C-C7D9-CF3F-21813A0EF1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1540" y="2415540"/>
            <a:ext cx="678180" cy="67818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4" name="Rectangle: Rounded Corners 3">
            <a:extLst>
              <a:ext uri="{FF2B5EF4-FFF2-40B4-BE49-F238E27FC236}">
                <a16:creationId xmlns:a16="http://schemas.microsoft.com/office/drawing/2014/main" id="{92A2563E-CB61-CFB8-3CE7-5106EFB93DD5}"/>
              </a:ext>
            </a:extLst>
          </xdr:cNvPr>
          <xdr:cNvSpPr/>
        </xdr:nvSpPr>
        <xdr:spPr>
          <a:xfrm>
            <a:off x="662940" y="308610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Penawaran</a:t>
            </a:r>
            <a:r>
              <a:rPr lang="en-ID" sz="1050" baseline="0">
                <a:solidFill>
                  <a:schemeClr val="bg1"/>
                </a:solidFill>
              </a:rPr>
              <a:t> PrEP</a:t>
            </a:r>
            <a:endParaRPr lang="en-ID" sz="1050">
              <a:solidFill>
                <a:schemeClr val="bg1"/>
              </a:solidFill>
            </a:endParaRPr>
          </a:p>
        </xdr:txBody>
      </xdr:sp>
    </xdr:grpSp>
    <xdr:clientData/>
  </xdr:twoCellAnchor>
  <xdr:twoCellAnchor>
    <xdr:from>
      <xdr:col>4</xdr:col>
      <xdr:colOff>22860</xdr:colOff>
      <xdr:row>33</xdr:row>
      <xdr:rowOff>137160</xdr:rowOff>
    </xdr:from>
    <xdr:to>
      <xdr:col>5</xdr:col>
      <xdr:colOff>15240</xdr:colOff>
      <xdr:row>40</xdr:row>
      <xdr:rowOff>53340</xdr:rowOff>
    </xdr:to>
    <xdr:grpSp>
      <xdr:nvGrpSpPr>
        <xdr:cNvPr id="5" name="menu_rpa2">
          <a:extLst>
            <a:ext uri="{FF2B5EF4-FFF2-40B4-BE49-F238E27FC236}">
              <a16:creationId xmlns:a16="http://schemas.microsoft.com/office/drawing/2014/main" id="{83509C4A-19D2-4174-ACE1-F099D552E44C}"/>
            </a:ext>
          </a:extLst>
        </xdr:cNvPr>
        <xdr:cNvGrpSpPr/>
      </xdr:nvGrpSpPr>
      <xdr:grpSpPr>
        <a:xfrm>
          <a:off x="1483360" y="2282049"/>
          <a:ext cx="1071880" cy="1200291"/>
          <a:chOff x="1950720" y="2423160"/>
          <a:chExt cx="1074420" cy="1196340"/>
        </a:xfrm>
      </xdr:grpSpPr>
      <xdr:pic macro="[0]!menu_rpa">
        <xdr:nvPicPr>
          <xdr:cNvPr id="6" name="Picture 5" descr="Add user - Free user icons">
            <a:extLst>
              <a:ext uri="{FF2B5EF4-FFF2-40B4-BE49-F238E27FC236}">
                <a16:creationId xmlns:a16="http://schemas.microsoft.com/office/drawing/2014/main" id="{4A715805-5936-AFFD-F2BE-4779A6280A7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64080" y="2423160"/>
            <a:ext cx="640080" cy="64008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7" name="Rectangle: Rounded Corners 6">
            <a:extLst>
              <a:ext uri="{FF2B5EF4-FFF2-40B4-BE49-F238E27FC236}">
                <a16:creationId xmlns:a16="http://schemas.microsoft.com/office/drawing/2014/main" id="{BA0F0857-A4BF-B67F-17C8-7E850099C4D4}"/>
              </a:ext>
            </a:extLst>
          </xdr:cNvPr>
          <xdr:cNvSpPr/>
        </xdr:nvSpPr>
        <xdr:spPr>
          <a:xfrm>
            <a:off x="1950720" y="309372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Tambah Klien</a:t>
            </a:r>
          </a:p>
        </xdr:txBody>
      </xdr:sp>
    </xdr:grpSp>
    <xdr:clientData/>
  </xdr:twoCellAnchor>
  <xdr:twoCellAnchor>
    <xdr:from>
      <xdr:col>6</xdr:col>
      <xdr:colOff>112042</xdr:colOff>
      <xdr:row>34</xdr:row>
      <xdr:rowOff>0</xdr:rowOff>
    </xdr:from>
    <xdr:to>
      <xdr:col>7</xdr:col>
      <xdr:colOff>1064542</xdr:colOff>
      <xdr:row>40</xdr:row>
      <xdr:rowOff>53340</xdr:rowOff>
    </xdr:to>
    <xdr:grpSp>
      <xdr:nvGrpSpPr>
        <xdr:cNvPr id="11" name="menu_rpa4">
          <a:extLst>
            <a:ext uri="{FF2B5EF4-FFF2-40B4-BE49-F238E27FC236}">
              <a16:creationId xmlns:a16="http://schemas.microsoft.com/office/drawing/2014/main" id="{52CD193E-4622-47C2-9B6C-4CA0195F2BFE}"/>
            </a:ext>
          </a:extLst>
        </xdr:cNvPr>
        <xdr:cNvGrpSpPr/>
      </xdr:nvGrpSpPr>
      <xdr:grpSpPr>
        <a:xfrm>
          <a:off x="2771986" y="2328333"/>
          <a:ext cx="1072445" cy="1154007"/>
          <a:chOff x="4556760" y="2468880"/>
          <a:chExt cx="1074420" cy="1150620"/>
        </a:xfrm>
      </xdr:grpSpPr>
      <xdr:pic macro="[0]!menu_rpa">
        <xdr:nvPicPr>
          <xdr:cNvPr id="12" name="Picture 11" descr="Start button - Free gaming icons">
            <a:extLst>
              <a:ext uri="{FF2B5EF4-FFF2-40B4-BE49-F238E27FC236}">
                <a16:creationId xmlns:a16="http://schemas.microsoft.com/office/drawing/2014/main" id="{CF541DBF-8E6B-62CD-6D85-FDFA7E8D593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70120" y="2468880"/>
            <a:ext cx="609600" cy="60960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13" name="Rectangle: Rounded Corners 12">
            <a:extLst>
              <a:ext uri="{FF2B5EF4-FFF2-40B4-BE49-F238E27FC236}">
                <a16:creationId xmlns:a16="http://schemas.microsoft.com/office/drawing/2014/main" id="{28262811-E55F-8A53-A18F-BA9549561430}"/>
              </a:ext>
            </a:extLst>
          </xdr:cNvPr>
          <xdr:cNvSpPr/>
        </xdr:nvSpPr>
        <xdr:spPr>
          <a:xfrm>
            <a:off x="4556760" y="309372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Memulai PrEP</a:t>
            </a:r>
          </a:p>
        </xdr:txBody>
      </xdr:sp>
    </xdr:grpSp>
    <xdr:clientData/>
  </xdr:twoCellAnchor>
  <xdr:twoCellAnchor>
    <xdr:from>
      <xdr:col>9</xdr:col>
      <xdr:colOff>81562</xdr:colOff>
      <xdr:row>32</xdr:row>
      <xdr:rowOff>160020</xdr:rowOff>
    </xdr:from>
    <xdr:to>
      <xdr:col>10</xdr:col>
      <xdr:colOff>1033497</xdr:colOff>
      <xdr:row>40</xdr:row>
      <xdr:rowOff>45720</xdr:rowOff>
    </xdr:to>
    <xdr:grpSp>
      <xdr:nvGrpSpPr>
        <xdr:cNvPr id="14" name="menu_rpa5">
          <a:extLst>
            <a:ext uri="{FF2B5EF4-FFF2-40B4-BE49-F238E27FC236}">
              <a16:creationId xmlns:a16="http://schemas.microsoft.com/office/drawing/2014/main" id="{3783BE8B-DF93-4CB2-9AA3-0882448900CC}"/>
            </a:ext>
          </a:extLst>
        </xdr:cNvPr>
        <xdr:cNvGrpSpPr/>
      </xdr:nvGrpSpPr>
      <xdr:grpSpPr>
        <a:xfrm>
          <a:off x="4060895" y="2121464"/>
          <a:ext cx="1071880" cy="1353256"/>
          <a:chOff x="5806440" y="2263140"/>
          <a:chExt cx="1074420" cy="1348740"/>
        </a:xfrm>
      </xdr:grpSpPr>
      <xdr:pic macro="[0]!menu_rpa">
        <xdr:nvPicPr>
          <xdr:cNvPr id="15" name="Picture 14" descr="Revisit Icons - Free SVG &amp; PNG Revisit Images - Noun Project">
            <a:extLst>
              <a:ext uri="{FF2B5EF4-FFF2-40B4-BE49-F238E27FC236}">
                <a16:creationId xmlns:a16="http://schemas.microsoft.com/office/drawing/2014/main" id="{AE8D9CDA-9F6F-F939-318B-FF1BE957A5E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1680" y="2263140"/>
            <a:ext cx="967740" cy="96774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16" name="Rectangle: Rounded Corners 15">
            <a:extLst>
              <a:ext uri="{FF2B5EF4-FFF2-40B4-BE49-F238E27FC236}">
                <a16:creationId xmlns:a16="http://schemas.microsoft.com/office/drawing/2014/main" id="{E2FB69AA-6A76-8E1F-E16F-7B562F66DFC2}"/>
              </a:ext>
            </a:extLst>
          </xdr:cNvPr>
          <xdr:cNvSpPr/>
        </xdr:nvSpPr>
        <xdr:spPr>
          <a:xfrm>
            <a:off x="5806440" y="308610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Kunjungan Rutin</a:t>
            </a:r>
          </a:p>
        </xdr:txBody>
      </xdr:sp>
    </xdr:grpSp>
    <xdr:clientData/>
  </xdr:twoCellAnchor>
  <xdr:twoCellAnchor>
    <xdr:from>
      <xdr:col>7</xdr:col>
      <xdr:colOff>1005840</xdr:colOff>
      <xdr:row>80</xdr:row>
      <xdr:rowOff>68580</xdr:rowOff>
    </xdr:from>
    <xdr:to>
      <xdr:col>17</xdr:col>
      <xdr:colOff>7620</xdr:colOff>
      <xdr:row>84</xdr:row>
      <xdr:rowOff>144780</xdr:rowOff>
    </xdr:to>
    <xdr:grpSp>
      <xdr:nvGrpSpPr>
        <xdr:cNvPr id="51" name="Group 50">
          <a:extLst>
            <a:ext uri="{FF2B5EF4-FFF2-40B4-BE49-F238E27FC236}">
              <a16:creationId xmlns:a16="http://schemas.microsoft.com/office/drawing/2014/main" id="{A516EE8A-5F92-489E-9F9D-91E82541192B}"/>
            </a:ext>
          </a:extLst>
        </xdr:cNvPr>
        <xdr:cNvGrpSpPr/>
      </xdr:nvGrpSpPr>
      <xdr:grpSpPr>
        <a:xfrm>
          <a:off x="3785729" y="4605302"/>
          <a:ext cx="4999002" cy="809978"/>
          <a:chOff x="5703825" y="180596"/>
          <a:chExt cx="4291736" cy="595912"/>
        </a:xfrm>
      </xdr:grpSpPr>
      <xdr:grpSp>
        <xdr:nvGrpSpPr>
          <xdr:cNvPr id="52" name="Group 51">
            <a:extLst>
              <a:ext uri="{FF2B5EF4-FFF2-40B4-BE49-F238E27FC236}">
                <a16:creationId xmlns:a16="http://schemas.microsoft.com/office/drawing/2014/main" id="{6AF963F8-988B-AF5E-225A-50FC510E11D3}"/>
              </a:ext>
            </a:extLst>
          </xdr:cNvPr>
          <xdr:cNvGrpSpPr/>
        </xdr:nvGrpSpPr>
        <xdr:grpSpPr>
          <a:xfrm>
            <a:off x="5703825" y="191788"/>
            <a:ext cx="4290508" cy="569537"/>
            <a:chOff x="-2124744" y="1912312"/>
            <a:chExt cx="4248472" cy="636019"/>
          </a:xfrm>
        </xdr:grpSpPr>
        <xdr:pic>
          <xdr:nvPicPr>
            <xdr:cNvPr id="58" name="Picture 57">
              <a:extLst>
                <a:ext uri="{FF2B5EF4-FFF2-40B4-BE49-F238E27FC236}">
                  <a16:creationId xmlns:a16="http://schemas.microsoft.com/office/drawing/2014/main" id="{719C9C66-875A-E811-8187-C260EEAA4C5A}"/>
                </a:ext>
              </a:extLst>
            </xdr:cNvPr>
            <xdr:cNvPicPr>
              <a:picLocks noChangeAspect="1"/>
            </xdr:cNvPicPr>
          </xdr:nvPicPr>
          <xdr:blipFill rotWithShape="1">
            <a:blip xmlns:r="http://schemas.openxmlformats.org/officeDocument/2006/relationships" r:embed="rId5"/>
            <a:srcRect l="20115" t="23422" r="25172" b="59844"/>
            <a:stretch/>
          </xdr:blipFill>
          <xdr:spPr>
            <a:xfrm>
              <a:off x="-2124744" y="1914572"/>
              <a:ext cx="3672408" cy="631499"/>
            </a:xfrm>
            <a:prstGeom prst="rect">
              <a:avLst/>
            </a:prstGeom>
          </xdr:spPr>
        </xdr:pic>
        <xdr:pic>
          <xdr:nvPicPr>
            <xdr:cNvPr id="59" name="Picture 58">
              <a:extLst>
                <a:ext uri="{FF2B5EF4-FFF2-40B4-BE49-F238E27FC236}">
                  <a16:creationId xmlns:a16="http://schemas.microsoft.com/office/drawing/2014/main" id="{50AC2C23-7D75-150E-4129-AEA0315813FF}"/>
                </a:ext>
              </a:extLst>
            </xdr:cNvPr>
            <xdr:cNvPicPr>
              <a:picLocks noChangeAspect="1"/>
            </xdr:cNvPicPr>
          </xdr:nvPicPr>
          <xdr:blipFill rotWithShape="1">
            <a:blip xmlns:r="http://schemas.openxmlformats.org/officeDocument/2006/relationships" r:embed="rId5"/>
            <a:srcRect l="74088" t="23422" r="10153" b="59844"/>
            <a:stretch/>
          </xdr:blipFill>
          <xdr:spPr>
            <a:xfrm>
              <a:off x="1065954" y="1912312"/>
              <a:ext cx="1057774" cy="631499"/>
            </a:xfrm>
            <a:prstGeom prst="rect">
              <a:avLst/>
            </a:prstGeom>
          </xdr:spPr>
        </xdr:pic>
        <xdr:pic>
          <xdr:nvPicPr>
            <xdr:cNvPr id="60" name="Picture 59">
              <a:extLst>
                <a:ext uri="{FF2B5EF4-FFF2-40B4-BE49-F238E27FC236}">
                  <a16:creationId xmlns:a16="http://schemas.microsoft.com/office/drawing/2014/main" id="{808DCA30-C373-A4BD-1BD5-87FF31D11DDD}"/>
                </a:ext>
              </a:extLst>
            </xdr:cNvPr>
            <xdr:cNvPicPr>
              <a:picLocks noChangeAspect="1"/>
            </xdr:cNvPicPr>
          </xdr:nvPicPr>
          <xdr:blipFill rotWithShape="1">
            <a:blip xmlns:r="http://schemas.openxmlformats.org/officeDocument/2006/relationships" r:embed="rId5"/>
            <a:srcRect l="50928" t="23422" r="28689" b="59844"/>
            <a:stretch/>
          </xdr:blipFill>
          <xdr:spPr>
            <a:xfrm>
              <a:off x="-252536" y="1916832"/>
              <a:ext cx="1368152" cy="631499"/>
            </a:xfrm>
            <a:prstGeom prst="rect">
              <a:avLst/>
            </a:prstGeom>
          </xdr:spPr>
        </xdr:pic>
      </xdr:grpSp>
      <xdr:sp macro="" textlink="">
        <xdr:nvSpPr>
          <xdr:cNvPr id="53" name="Rectangle 52">
            <a:extLst>
              <a:ext uri="{FF2B5EF4-FFF2-40B4-BE49-F238E27FC236}">
                <a16:creationId xmlns:a16="http://schemas.microsoft.com/office/drawing/2014/main" id="{3EECF3B9-5ED3-DD00-8ECE-5E547B4DD8C8}"/>
              </a:ext>
            </a:extLst>
          </xdr:cNvPr>
          <xdr:cNvSpPr/>
        </xdr:nvSpPr>
        <xdr:spPr>
          <a:xfrm>
            <a:off x="6828437" y="211098"/>
            <a:ext cx="3167124" cy="5010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 name="Group 53">
            <a:extLst>
              <a:ext uri="{FF2B5EF4-FFF2-40B4-BE49-F238E27FC236}">
                <a16:creationId xmlns:a16="http://schemas.microsoft.com/office/drawing/2014/main" id="{F3F0A8CF-4425-E99E-9A59-13BC305F2FC8}"/>
              </a:ext>
            </a:extLst>
          </xdr:cNvPr>
          <xdr:cNvGrpSpPr/>
        </xdr:nvGrpSpPr>
        <xdr:grpSpPr>
          <a:xfrm>
            <a:off x="6974079" y="180596"/>
            <a:ext cx="2939094" cy="595912"/>
            <a:chOff x="2850763" y="0"/>
            <a:chExt cx="2972953" cy="600364"/>
          </a:xfrm>
        </xdr:grpSpPr>
        <xdr:pic>
          <xdr:nvPicPr>
            <xdr:cNvPr id="55" name="image1.jpg" descr="A picture containing text&#10;&#10;Description automatically generated">
              <a:extLst>
                <a:ext uri="{FF2B5EF4-FFF2-40B4-BE49-F238E27FC236}">
                  <a16:creationId xmlns:a16="http://schemas.microsoft.com/office/drawing/2014/main" id="{0E0B921E-51F5-8615-FE47-38038954BDB2}"/>
                </a:ext>
              </a:extLst>
            </xdr:cNvPr>
            <xdr:cNvPicPr/>
          </xdr:nvPicPr>
          <xdr:blipFill>
            <a:blip xmlns:r="http://schemas.openxmlformats.org/officeDocument/2006/relationships" r:embed="rId6"/>
            <a:srcRect r="8775"/>
            <a:stretch>
              <a:fillRect/>
            </a:stretch>
          </xdr:blipFill>
          <xdr:spPr>
            <a:xfrm>
              <a:off x="2850763" y="34637"/>
              <a:ext cx="652318" cy="461818"/>
            </a:xfrm>
            <a:prstGeom prst="rect">
              <a:avLst/>
            </a:prstGeom>
            <a:ln/>
          </xdr:spPr>
        </xdr:pic>
        <xdr:pic>
          <xdr:nvPicPr>
            <xdr:cNvPr id="56" name="image4.png">
              <a:extLst>
                <a:ext uri="{FF2B5EF4-FFF2-40B4-BE49-F238E27FC236}">
                  <a16:creationId xmlns:a16="http://schemas.microsoft.com/office/drawing/2014/main" id="{373AD034-D6CC-2949-65ED-635518D0E2FA}"/>
                </a:ext>
              </a:extLst>
            </xdr:cNvPr>
            <xdr:cNvPicPr/>
          </xdr:nvPicPr>
          <xdr:blipFill>
            <a:blip xmlns:r="http://schemas.openxmlformats.org/officeDocument/2006/relationships" r:embed="rId7"/>
            <a:srcRect l="9482" r="9042"/>
            <a:stretch>
              <a:fillRect/>
            </a:stretch>
          </xdr:blipFill>
          <xdr:spPr>
            <a:xfrm>
              <a:off x="3653172" y="0"/>
              <a:ext cx="1304636" cy="600364"/>
            </a:xfrm>
            <a:prstGeom prst="rect">
              <a:avLst/>
            </a:prstGeom>
            <a:ln/>
          </xdr:spPr>
        </xdr:pic>
        <xdr:pic>
          <xdr:nvPicPr>
            <xdr:cNvPr id="57" name="image7.png" descr="Logo&#10;&#10;Description automatically generated">
              <a:extLst>
                <a:ext uri="{FF2B5EF4-FFF2-40B4-BE49-F238E27FC236}">
                  <a16:creationId xmlns:a16="http://schemas.microsoft.com/office/drawing/2014/main" id="{81772406-19D7-0158-2DA9-C6EC16133F86}"/>
                </a:ext>
              </a:extLst>
            </xdr:cNvPr>
            <xdr:cNvPicPr/>
          </xdr:nvPicPr>
          <xdr:blipFill>
            <a:blip xmlns:r="http://schemas.openxmlformats.org/officeDocument/2006/relationships" r:embed="rId8"/>
            <a:srcRect/>
            <a:stretch>
              <a:fillRect/>
            </a:stretch>
          </xdr:blipFill>
          <xdr:spPr>
            <a:xfrm>
              <a:off x="5171399" y="103909"/>
              <a:ext cx="652317" cy="395721"/>
            </a:xfrm>
            <a:prstGeom prst="rect">
              <a:avLst/>
            </a:prstGeom>
            <a:ln/>
          </xdr:spPr>
        </xdr:pic>
      </xdr:grpSp>
    </xdr:grpSp>
    <xdr:clientData/>
  </xdr:twoCellAnchor>
  <xdr:twoCellAnchor>
    <xdr:from>
      <xdr:col>2</xdr:col>
      <xdr:colOff>7620</xdr:colOff>
      <xdr:row>14</xdr:row>
      <xdr:rowOff>60960</xdr:rowOff>
    </xdr:from>
    <xdr:to>
      <xdr:col>3</xdr:col>
      <xdr:colOff>0</xdr:colOff>
      <xdr:row>20</xdr:row>
      <xdr:rowOff>0</xdr:rowOff>
    </xdr:to>
    <xdr:grpSp>
      <xdr:nvGrpSpPr>
        <xdr:cNvPr id="40" name="Group 39">
          <a:extLst>
            <a:ext uri="{FF2B5EF4-FFF2-40B4-BE49-F238E27FC236}">
              <a16:creationId xmlns:a16="http://schemas.microsoft.com/office/drawing/2014/main" id="{B336E44E-1CED-D3E6-0FBE-D60B459854BA}"/>
            </a:ext>
          </a:extLst>
        </xdr:cNvPr>
        <xdr:cNvGrpSpPr/>
      </xdr:nvGrpSpPr>
      <xdr:grpSpPr>
        <a:xfrm>
          <a:off x="268676" y="3306516"/>
          <a:ext cx="1071880" cy="1039706"/>
          <a:chOff x="266700" y="3299460"/>
          <a:chExt cx="1074420" cy="1036320"/>
        </a:xfrm>
      </xdr:grpSpPr>
      <xdr:pic macro="[0]!version_history">
        <xdr:nvPicPr>
          <xdr:cNvPr id="28" name="Picture 27" descr="Version History Icons - Free SVG &amp; PNG Version History Images - Noun Project">
            <a:extLst>
              <a:ext uri="{FF2B5EF4-FFF2-40B4-BE49-F238E27FC236}">
                <a16:creationId xmlns:a16="http://schemas.microsoft.com/office/drawing/2014/main" id="{0BD323F0-AA92-26ED-2340-F5AF8E8CB65E}"/>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19100" y="3299460"/>
            <a:ext cx="792480" cy="792480"/>
          </a:xfrm>
          <a:prstGeom prst="rect">
            <a:avLst/>
          </a:prstGeom>
          <a:noFill/>
          <a:extLst>
            <a:ext uri="{909E8E84-426E-40DD-AFC4-6F175D3DCCD1}">
              <a14:hiddenFill xmlns:a14="http://schemas.microsoft.com/office/drawing/2010/main">
                <a:solidFill>
                  <a:srgbClr val="FFFFFF"/>
                </a:solidFill>
              </a14:hiddenFill>
            </a:ext>
          </a:extLst>
        </xdr:spPr>
      </xdr:pic>
      <xdr:sp macro="[0]!version_history" textlink="">
        <xdr:nvSpPr>
          <xdr:cNvPr id="39" name="Rectangle 38">
            <a:extLst>
              <a:ext uri="{FF2B5EF4-FFF2-40B4-BE49-F238E27FC236}">
                <a16:creationId xmlns:a16="http://schemas.microsoft.com/office/drawing/2014/main" id="{40AF94EC-195D-76AB-1473-D1A3C7DB8723}"/>
              </a:ext>
            </a:extLst>
          </xdr:cNvPr>
          <xdr:cNvSpPr/>
        </xdr:nvSpPr>
        <xdr:spPr>
          <a:xfrm>
            <a:off x="266700" y="4000500"/>
            <a:ext cx="1074420" cy="335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solidFill>
                  <a:schemeClr val="tx2"/>
                </a:solidFill>
              </a:rPr>
              <a:t>Version History</a:t>
            </a:r>
          </a:p>
        </xdr:txBody>
      </xdr:sp>
    </xdr:grpSp>
    <xdr:clientData/>
  </xdr:twoCellAnchor>
  <xdr:twoCellAnchor>
    <xdr:from>
      <xdr:col>3</xdr:col>
      <xdr:colOff>91440</xdr:colOff>
      <xdr:row>14</xdr:row>
      <xdr:rowOff>167640</xdr:rowOff>
    </xdr:from>
    <xdr:to>
      <xdr:col>5</xdr:col>
      <xdr:colOff>53340</xdr:colOff>
      <xdr:row>20</xdr:row>
      <xdr:rowOff>129540</xdr:rowOff>
    </xdr:to>
    <xdr:grpSp>
      <xdr:nvGrpSpPr>
        <xdr:cNvPr id="47" name="Group 46">
          <a:extLst>
            <a:ext uri="{FF2B5EF4-FFF2-40B4-BE49-F238E27FC236}">
              <a16:creationId xmlns:a16="http://schemas.microsoft.com/office/drawing/2014/main" id="{8370E2C7-860A-1DCB-F5AD-16B715F8928E}"/>
            </a:ext>
          </a:extLst>
        </xdr:cNvPr>
        <xdr:cNvGrpSpPr/>
      </xdr:nvGrpSpPr>
      <xdr:grpSpPr>
        <a:xfrm>
          <a:off x="1431996" y="3413196"/>
          <a:ext cx="1161344" cy="1062566"/>
          <a:chOff x="1691640" y="3390900"/>
          <a:chExt cx="1165860" cy="1059180"/>
        </a:xfrm>
      </xdr:grpSpPr>
      <xdr:pic>
        <xdr:nvPicPr>
          <xdr:cNvPr id="45" name="Picture 44" descr="User guide - Free education icons">
            <a:extLst>
              <a:ext uri="{FF2B5EF4-FFF2-40B4-BE49-F238E27FC236}">
                <a16:creationId xmlns:a16="http://schemas.microsoft.com/office/drawing/2014/main" id="{5127BE23-AE35-C77C-770A-0422E1CB706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973580" y="3390900"/>
            <a:ext cx="655320" cy="65532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6" name="Rectangle 45">
            <a:extLst>
              <a:ext uri="{FF2B5EF4-FFF2-40B4-BE49-F238E27FC236}">
                <a16:creationId xmlns:a16="http://schemas.microsoft.com/office/drawing/2014/main" id="{7AD9B642-9D95-4762-94CC-CD22AC9D8BA0}"/>
              </a:ext>
            </a:extLst>
          </xdr:cNvPr>
          <xdr:cNvSpPr/>
        </xdr:nvSpPr>
        <xdr:spPr>
          <a:xfrm>
            <a:off x="1691640" y="4008120"/>
            <a:ext cx="1165860" cy="4419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solidFill>
                  <a:schemeClr val="tx2"/>
                </a:solidFill>
              </a:rPr>
              <a:t>Panduan Penggunaan</a:t>
            </a:r>
          </a:p>
        </xdr:txBody>
      </xdr:sp>
    </xdr:grpSp>
    <xdr:clientData/>
  </xdr:twoCellAnchor>
  <xdr:twoCellAnchor>
    <xdr:from>
      <xdr:col>0</xdr:col>
      <xdr:colOff>133460</xdr:colOff>
      <xdr:row>60</xdr:row>
      <xdr:rowOff>85252</xdr:rowOff>
    </xdr:from>
    <xdr:to>
      <xdr:col>2</xdr:col>
      <xdr:colOff>783072</xdr:colOff>
      <xdr:row>65</xdr:row>
      <xdr:rowOff>176952</xdr:rowOff>
    </xdr:to>
    <xdr:grpSp>
      <xdr:nvGrpSpPr>
        <xdr:cNvPr id="26" name="Group 25">
          <a:extLst>
            <a:ext uri="{FF2B5EF4-FFF2-40B4-BE49-F238E27FC236}">
              <a16:creationId xmlns:a16="http://schemas.microsoft.com/office/drawing/2014/main" id="{B758D8EF-DB86-DC25-B565-0748E3EE066B}"/>
            </a:ext>
          </a:extLst>
        </xdr:cNvPr>
        <xdr:cNvGrpSpPr/>
      </xdr:nvGrpSpPr>
      <xdr:grpSpPr>
        <a:xfrm>
          <a:off x="133460" y="1679808"/>
          <a:ext cx="910668" cy="1008922"/>
          <a:chOff x="2301240" y="1836420"/>
          <a:chExt cx="914400" cy="1005840"/>
        </a:xfrm>
      </xdr:grpSpPr>
      <xdr:pic macro="[0]!switch_url">
        <xdr:nvPicPr>
          <xdr:cNvPr id="31" name="Picture 30" descr="switch Vector Icons free download in SVG, PNG Format">
            <a:extLst>
              <a:ext uri="{FF2B5EF4-FFF2-40B4-BE49-F238E27FC236}">
                <a16:creationId xmlns:a16="http://schemas.microsoft.com/office/drawing/2014/main" id="{92447FC6-0313-12DC-CDA1-65ECF51D9789}"/>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461260" y="1836420"/>
            <a:ext cx="617220" cy="617220"/>
          </a:xfrm>
          <a:prstGeom prst="rect">
            <a:avLst/>
          </a:prstGeom>
          <a:noFill/>
          <a:extLst>
            <a:ext uri="{909E8E84-426E-40DD-AFC4-6F175D3DCCD1}">
              <a14:hiddenFill xmlns:a14="http://schemas.microsoft.com/office/drawing/2010/main">
                <a:solidFill>
                  <a:srgbClr val="FFFFFF"/>
                </a:solidFill>
              </a14:hiddenFill>
            </a:ext>
          </a:extLst>
        </xdr:spPr>
      </xdr:pic>
      <xdr:sp macro="[0]!switch_url" textlink="">
        <xdr:nvSpPr>
          <xdr:cNvPr id="32" name="url_prep text box">
            <a:extLst>
              <a:ext uri="{FF2B5EF4-FFF2-40B4-BE49-F238E27FC236}">
                <a16:creationId xmlns:a16="http://schemas.microsoft.com/office/drawing/2014/main" id="{3CA8C8AC-1851-E634-0D13-6D8FFB6AB8AB}"/>
              </a:ext>
            </a:extLst>
          </xdr:cNvPr>
          <xdr:cNvSpPr/>
        </xdr:nvSpPr>
        <xdr:spPr>
          <a:xfrm>
            <a:off x="2301240" y="2385060"/>
            <a:ext cx="91440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Ganti URL PrEP Learning</a:t>
            </a:r>
          </a:p>
        </xdr:txBody>
      </xdr:sp>
    </xdr:grpSp>
    <xdr:clientData/>
  </xdr:twoCellAnchor>
  <xdr:twoCellAnchor>
    <xdr:from>
      <xdr:col>2</xdr:col>
      <xdr:colOff>700538</xdr:colOff>
      <xdr:row>60</xdr:row>
      <xdr:rowOff>93481</xdr:rowOff>
    </xdr:from>
    <xdr:to>
      <xdr:col>4</xdr:col>
      <xdr:colOff>411762</xdr:colOff>
      <xdr:row>65</xdr:row>
      <xdr:rowOff>162251</xdr:rowOff>
    </xdr:to>
    <xdr:grpSp>
      <xdr:nvGrpSpPr>
        <xdr:cNvPr id="27" name="Group 26">
          <a:extLst>
            <a:ext uri="{FF2B5EF4-FFF2-40B4-BE49-F238E27FC236}">
              <a16:creationId xmlns:a16="http://schemas.microsoft.com/office/drawing/2014/main" id="{E02F94EC-F632-2322-9D1E-38FE96281A4A}"/>
            </a:ext>
          </a:extLst>
        </xdr:cNvPr>
        <xdr:cNvGrpSpPr/>
      </xdr:nvGrpSpPr>
      <xdr:grpSpPr>
        <a:xfrm>
          <a:off x="961594" y="1688037"/>
          <a:ext cx="910668" cy="985992"/>
          <a:chOff x="2994660" y="1844040"/>
          <a:chExt cx="914400" cy="982980"/>
        </a:xfrm>
      </xdr:grpSpPr>
      <xdr:pic macro="[0]!update_version">
        <xdr:nvPicPr>
          <xdr:cNvPr id="29" name="Picture 28" descr="Version - Free files and folders icons">
            <a:extLst>
              <a:ext uri="{FF2B5EF4-FFF2-40B4-BE49-F238E27FC236}">
                <a16:creationId xmlns:a16="http://schemas.microsoft.com/office/drawing/2014/main" id="{4E5D66BA-EF63-DD6A-0A79-112F1597AB7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139440" y="1844040"/>
            <a:ext cx="632460" cy="632460"/>
          </a:xfrm>
          <a:prstGeom prst="rect">
            <a:avLst/>
          </a:prstGeom>
          <a:noFill/>
          <a:extLst>
            <a:ext uri="{909E8E84-426E-40DD-AFC4-6F175D3DCCD1}">
              <a14:hiddenFill xmlns:a14="http://schemas.microsoft.com/office/drawing/2010/main">
                <a:solidFill>
                  <a:srgbClr val="FFFFFF"/>
                </a:solidFill>
              </a14:hiddenFill>
            </a:ext>
          </a:extLst>
        </xdr:spPr>
      </xdr:pic>
      <xdr:sp macro="[0]!update_version" textlink="">
        <xdr:nvSpPr>
          <xdr:cNvPr id="30" name="url_prep text box">
            <a:extLst>
              <a:ext uri="{FF2B5EF4-FFF2-40B4-BE49-F238E27FC236}">
                <a16:creationId xmlns:a16="http://schemas.microsoft.com/office/drawing/2014/main" id="{F2137C73-4119-3705-C2DE-ECAE86E85978}"/>
              </a:ext>
            </a:extLst>
          </xdr:cNvPr>
          <xdr:cNvSpPr/>
        </xdr:nvSpPr>
        <xdr:spPr>
          <a:xfrm>
            <a:off x="2994660" y="2369820"/>
            <a:ext cx="91440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Update</a:t>
            </a:r>
            <a:r>
              <a:rPr lang="en-ID" sz="900" baseline="0">
                <a:solidFill>
                  <a:schemeClr val="tx1"/>
                </a:solidFill>
              </a:rPr>
              <a:t> Versi RPA-PrEP</a:t>
            </a:r>
            <a:endParaRPr lang="en-ID" sz="900">
              <a:solidFill>
                <a:schemeClr val="tx1"/>
              </a:solidFill>
            </a:endParaRPr>
          </a:p>
        </xdr:txBody>
      </xdr:sp>
    </xdr:grpSp>
    <xdr:clientData/>
  </xdr:twoCellAnchor>
  <xdr:twoCellAnchor>
    <xdr:from>
      <xdr:col>0</xdr:col>
      <xdr:colOff>133350</xdr:colOff>
      <xdr:row>67</xdr:row>
      <xdr:rowOff>57149</xdr:rowOff>
    </xdr:from>
    <xdr:to>
      <xdr:col>2</xdr:col>
      <xdr:colOff>797074</xdr:colOff>
      <xdr:row>72</xdr:row>
      <xdr:rowOff>119483</xdr:rowOff>
    </xdr:to>
    <xdr:grpSp>
      <xdr:nvGrpSpPr>
        <xdr:cNvPr id="18" name="Group 17">
          <a:extLst>
            <a:ext uri="{FF2B5EF4-FFF2-40B4-BE49-F238E27FC236}">
              <a16:creationId xmlns:a16="http://schemas.microsoft.com/office/drawing/2014/main" id="{7299F60B-62E2-AA81-0709-5CA85A5815FC}"/>
            </a:ext>
          </a:extLst>
        </xdr:cNvPr>
        <xdr:cNvGrpSpPr/>
      </xdr:nvGrpSpPr>
      <xdr:grpSpPr>
        <a:xfrm>
          <a:off x="133350" y="2935816"/>
          <a:ext cx="924780" cy="979556"/>
          <a:chOff x="3524250" y="2695574"/>
          <a:chExt cx="920899" cy="967209"/>
        </a:xfrm>
      </xdr:grpSpPr>
      <xdr:pic macro="[0]!download_rpa">
        <xdr:nvPicPr>
          <xdr:cNvPr id="10" name="Picture 9" descr="Rpa - Free electronics icons">
            <a:extLst>
              <a:ext uri="{FF2B5EF4-FFF2-40B4-BE49-F238E27FC236}">
                <a16:creationId xmlns:a16="http://schemas.microsoft.com/office/drawing/2014/main" id="{3524B692-8DA1-AF0B-D687-8F6234D31AAC}"/>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3676650" y="2695574"/>
            <a:ext cx="616808" cy="607695"/>
          </a:xfrm>
          <a:prstGeom prst="rect">
            <a:avLst/>
          </a:prstGeom>
          <a:noFill/>
          <a:extLst>
            <a:ext uri="{909E8E84-426E-40DD-AFC4-6F175D3DCCD1}">
              <a14:hiddenFill xmlns:a14="http://schemas.microsoft.com/office/drawing/2010/main">
                <a:solidFill>
                  <a:srgbClr val="FFFFFF"/>
                </a:solidFill>
              </a14:hiddenFill>
            </a:ext>
          </a:extLst>
        </xdr:spPr>
      </xdr:pic>
      <xdr:sp macro="[0]!download_rpa" textlink="">
        <xdr:nvSpPr>
          <xdr:cNvPr id="17" name="url_prep text box">
            <a:extLst>
              <a:ext uri="{FF2B5EF4-FFF2-40B4-BE49-F238E27FC236}">
                <a16:creationId xmlns:a16="http://schemas.microsoft.com/office/drawing/2014/main" id="{3F99D1B4-F950-4993-9783-B34B61AD14BE}"/>
              </a:ext>
            </a:extLst>
          </xdr:cNvPr>
          <xdr:cNvSpPr/>
        </xdr:nvSpPr>
        <xdr:spPr>
          <a:xfrm>
            <a:off x="3524250" y="3209925"/>
            <a:ext cx="920899" cy="45285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Download </a:t>
            </a:r>
            <a:r>
              <a:rPr lang="en-ID" sz="900" baseline="0">
                <a:solidFill>
                  <a:schemeClr val="tx1"/>
                </a:solidFill>
              </a:rPr>
              <a:t>RPA-PrEP</a:t>
            </a:r>
            <a:endParaRPr lang="en-ID" sz="900">
              <a:solidFill>
                <a:schemeClr val="tx1"/>
              </a:solidFill>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858D21-2C54-47C3-95C1-24A03BC6B025}" name="tab_val_penawaran" displayName="tab_val_penawaran" ref="B2:D6" totalsRowShown="0" headerRowDxfId="3">
  <autoFilter ref="B2:D6" xr:uid="{9D858D21-2C54-47C3-95C1-24A03BC6B025}"/>
  <tableColumns count="3">
    <tableColumn id="3" xr3:uid="{A62BADE4-AA79-471D-9A41-23EB99834B91}" name="No"/>
    <tableColumn id="1" xr3:uid="{6D4E135E-B37C-495E-B9CF-423ABA1D7CF2}" name="Variabel"/>
    <tableColumn id="2" xr3:uid="{69337996-8473-4F98-8AE2-FFF93DED5C9F}" name="Jumlah Data Tidak Valid"/>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B352D1-761F-4A35-B34E-9E607FB52102}" name="tab_val_pasien" displayName="tab_val_pasien" ref="B10:D21" totalsRowShown="0" headerRowDxfId="2">
  <autoFilter ref="B10:D21" xr:uid="{18B352D1-761F-4A35-B34E-9E607FB52102}"/>
  <tableColumns count="3">
    <tableColumn id="3" xr3:uid="{8CA6C91B-8A67-43D2-B559-23B552816E97}" name="No"/>
    <tableColumn id="1" xr3:uid="{EBA796C2-F6E1-4E92-AFA3-84C75A28E4AF}" name="Variabel"/>
    <tableColumn id="2" xr3:uid="{94471AF7-E029-4B6B-BA96-2DDD60DAEED5}" name="Jumlah Data Tidak Valid"/>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7662B2-09EB-459B-B406-C84DEA8E3305}" name="tab_val_kunj_mulai" displayName="tab_val_kunj_mulai" ref="B24:D71" totalsRowShown="0" headerRowDxfId="1">
  <autoFilter ref="B24:D71" xr:uid="{E77662B2-09EB-459B-B406-C84DEA8E3305}"/>
  <tableColumns count="3">
    <tableColumn id="3" xr3:uid="{080044C8-2360-4DC7-BC45-C11325424A58}" name="No"/>
    <tableColumn id="1" xr3:uid="{E9FE89DA-6B9E-428F-A7B6-B6F842FC978B}" name="Variabel"/>
    <tableColumn id="2" xr3:uid="{F910BF92-0B5D-4ADC-A060-F3AC6A5C1FC7}" name="Jumlah Data Tidak Valid"/>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74F011-5565-4B9B-BDC9-3743507B7B93}" name="tab_val_kunj_rutin" displayName="tab_val_kunj_rutin" ref="B75:D131" totalsRowShown="0" headerRowDxfId="0">
  <autoFilter ref="B75:D131" xr:uid="{6774F011-5565-4B9B-BDC9-3743507B7B93}"/>
  <tableColumns count="3">
    <tableColumn id="3" xr3:uid="{B04498AA-2C2F-4627-8430-7439EDB8B308}" name="No"/>
    <tableColumn id="1" xr3:uid="{2BF95A66-25D0-442B-872D-2B29583FB261}" name="Variabel"/>
    <tableColumn id="2" xr3:uid="{B55BB487-9ED4-4435-945E-0449A968E14A}" name="Jumlah Data Tidak Valid"/>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8222-CD82-42C7-8356-9B8F2E95F8B6}">
  <sheetPr codeName="Sheet8"/>
  <dimension ref="A1:AI170"/>
  <sheetViews>
    <sheetView showGridLines="0" showRowColHeaders="0" zoomScale="110" zoomScaleNormal="110" workbookViewId="0">
      <pane xSplit="7" ySplit="3" topLeftCell="H4" activePane="bottomRight" state="frozen"/>
      <selection pane="topRight" activeCell="H1" sqref="H1"/>
      <selection pane="bottomLeft" activeCell="A4" sqref="A4"/>
      <selection pane="bottomRight" activeCell="B4" sqref="B4"/>
    </sheetView>
  </sheetViews>
  <sheetFormatPr defaultRowHeight="14.4" x14ac:dyDescent="0.3"/>
  <cols>
    <col min="2" max="2" width="10.77734375" customWidth="1"/>
    <col min="3" max="3" width="22.6640625" customWidth="1"/>
    <col min="4" max="4" width="26.77734375" customWidth="1"/>
    <col min="5" max="5" width="26.44140625" customWidth="1"/>
    <col min="6" max="6" width="59.77734375" bestFit="1" customWidth="1"/>
    <col min="7" max="7" width="18.77734375" customWidth="1"/>
    <col min="8" max="8" width="23.5546875" customWidth="1"/>
  </cols>
  <sheetData>
    <row r="1" spans="1:35" x14ac:dyDescent="0.3">
      <c r="A1" s="1">
        <f>COUNTIFS(A4:A50000,"&gt;0",B4:B50000,"Ya")</f>
        <v>0</v>
      </c>
      <c r="B1" s="1">
        <f>COUNTIF(B4:B50000,"Ya")</f>
        <v>0</v>
      </c>
      <c r="G1" s="1">
        <v>4</v>
      </c>
      <c r="J1" s="1"/>
      <c r="K1" s="37"/>
      <c r="L1" s="37"/>
      <c r="M1" s="37"/>
      <c r="N1" s="37"/>
      <c r="O1" s="37"/>
      <c r="P1" s="1"/>
      <c r="Q1" s="1"/>
      <c r="R1" s="1"/>
      <c r="S1" s="1"/>
      <c r="T1" s="1"/>
      <c r="U1" s="1"/>
      <c r="V1" s="1"/>
      <c r="W1" s="1"/>
      <c r="X1" s="1"/>
      <c r="Y1" s="1"/>
      <c r="Z1" s="1">
        <f>SUM(AA1:AD1)</f>
        <v>0</v>
      </c>
      <c r="AA1" s="1">
        <f t="shared" ref="AA1:AD1" si="0">SUM(AA4:AA50000)</f>
        <v>0</v>
      </c>
      <c r="AB1" s="1">
        <f t="shared" si="0"/>
        <v>0</v>
      </c>
      <c r="AC1" s="1">
        <f t="shared" si="0"/>
        <v>0</v>
      </c>
      <c r="AD1" s="1">
        <f t="shared" si="0"/>
        <v>0</v>
      </c>
      <c r="AE1" s="1"/>
      <c r="AF1" s="1"/>
      <c r="AG1" s="1"/>
      <c r="AH1" s="1"/>
      <c r="AI1" s="1"/>
    </row>
    <row r="2" spans="1:35" x14ac:dyDescent="0.3">
      <c r="G2" s="2"/>
      <c r="H2" s="2" t="str">
        <f>IF(AND(E2&lt;&gt;"",F2&lt;&gt;""),E2&amp;VLOOKUP(F2,admin_prep!$P$2:$Q$8,2,FALSE),"")</f>
        <v/>
      </c>
      <c r="J2" s="1"/>
      <c r="K2" s="37"/>
      <c r="L2" s="37"/>
      <c r="M2" s="37"/>
      <c r="N2" s="37"/>
      <c r="O2" s="37"/>
      <c r="P2" s="1"/>
      <c r="Q2" s="1"/>
      <c r="R2" s="1"/>
      <c r="S2" s="1"/>
      <c r="T2" s="1"/>
      <c r="U2" s="1"/>
      <c r="V2" s="1"/>
      <c r="W2" s="1"/>
      <c r="X2" s="1"/>
      <c r="Y2" s="1"/>
      <c r="Z2" s="1"/>
      <c r="AA2" s="1">
        <f>IF($B2&lt;&gt;"Ya",0,IF(C2="",1,IF(LEN(C2)&lt;&gt;16,1,0)))</f>
        <v>0</v>
      </c>
      <c r="AB2" s="1"/>
      <c r="AC2" s="1">
        <f>IF($B2&lt;&gt;"Ya",0,IF(E2="",1,0))</f>
        <v>0</v>
      </c>
      <c r="AD2" s="1">
        <f>IF($B2&lt;&gt;"Ya",0,IF(F2="",1,IFERROR(VLOOKUP(F2,admin_prep!$P$2:$R$8,3,FALSE),1)))</f>
        <v>0</v>
      </c>
      <c r="AE2" s="1"/>
      <c r="AF2" s="1"/>
      <c r="AG2" s="1"/>
      <c r="AH2" s="1"/>
      <c r="AI2" s="1"/>
    </row>
    <row r="3" spans="1:35" ht="45" customHeight="1" x14ac:dyDescent="0.3">
      <c r="A3" s="30" t="s">
        <v>0</v>
      </c>
      <c r="B3" s="30" t="s">
        <v>1</v>
      </c>
      <c r="C3" s="30" t="s">
        <v>2</v>
      </c>
      <c r="D3" s="11" t="s">
        <v>3</v>
      </c>
      <c r="E3" s="30" t="s">
        <v>4</v>
      </c>
      <c r="F3" s="30" t="s">
        <v>5</v>
      </c>
      <c r="G3" s="31" t="s">
        <v>6</v>
      </c>
      <c r="H3" s="31" t="s">
        <v>7</v>
      </c>
      <c r="J3" s="1"/>
      <c r="K3" s="37"/>
      <c r="L3" s="37"/>
      <c r="M3" s="37"/>
      <c r="N3" s="37"/>
      <c r="O3" s="37"/>
      <c r="P3" s="1"/>
      <c r="Q3" s="1"/>
      <c r="R3" s="1"/>
      <c r="S3" s="1"/>
      <c r="T3" s="1"/>
      <c r="U3" s="1"/>
      <c r="V3" s="1"/>
      <c r="W3" s="1"/>
      <c r="X3" s="1"/>
      <c r="Y3" s="1"/>
      <c r="Z3" s="1"/>
      <c r="AA3" s="1" t="s">
        <v>2</v>
      </c>
      <c r="AB3" s="1" t="s">
        <v>3</v>
      </c>
      <c r="AC3" s="1" t="s">
        <v>4</v>
      </c>
      <c r="AD3" s="1" t="s">
        <v>5</v>
      </c>
      <c r="AE3" s="1"/>
      <c r="AF3" s="1"/>
      <c r="AG3" s="1"/>
      <c r="AH3" s="1"/>
      <c r="AI3" s="1"/>
    </row>
    <row r="4" spans="1:35" x14ac:dyDescent="0.3">
      <c r="A4" s="34">
        <v>1</v>
      </c>
      <c r="B4" s="4"/>
      <c r="C4" s="5"/>
      <c r="D4" s="4"/>
      <c r="E4" s="4"/>
      <c r="F4" s="4"/>
      <c r="G4" s="36"/>
      <c r="H4" s="2"/>
      <c r="J4" s="1"/>
      <c r="K4" s="37"/>
      <c r="L4" s="37"/>
      <c r="M4" s="37"/>
      <c r="N4" s="37"/>
      <c r="O4" s="37"/>
      <c r="P4" s="1"/>
      <c r="Q4" s="1"/>
      <c r="R4" s="1"/>
      <c r="S4" s="1"/>
      <c r="T4" s="1"/>
      <c r="U4" s="1"/>
      <c r="V4" s="1"/>
      <c r="W4" s="1"/>
      <c r="X4" s="1"/>
      <c r="Y4" s="1"/>
      <c r="Z4" s="1"/>
      <c r="AE4" s="1"/>
      <c r="AF4" s="1"/>
      <c r="AG4" s="1"/>
      <c r="AH4" s="1"/>
      <c r="AI4" s="1"/>
    </row>
    <row r="5" spans="1:35" x14ac:dyDescent="0.3">
      <c r="A5" s="34">
        <v>2</v>
      </c>
      <c r="B5" s="4"/>
      <c r="C5" s="5"/>
      <c r="D5" s="4"/>
      <c r="E5" s="4"/>
      <c r="F5" s="4"/>
      <c r="G5" s="36"/>
      <c r="H5" s="2"/>
      <c r="J5" s="1"/>
      <c r="K5" s="37"/>
      <c r="L5" s="37"/>
      <c r="M5" s="37"/>
      <c r="N5" s="37"/>
      <c r="O5" s="37"/>
      <c r="P5" s="1"/>
      <c r="Q5" s="1"/>
      <c r="R5" s="1"/>
      <c r="S5" s="1"/>
      <c r="T5" s="1"/>
      <c r="U5" s="1"/>
      <c r="V5" s="1"/>
      <c r="W5" s="1"/>
      <c r="X5" s="1"/>
      <c r="Y5" s="1"/>
      <c r="Z5" s="1"/>
      <c r="AE5" s="1"/>
      <c r="AF5" s="1"/>
      <c r="AG5" s="1"/>
      <c r="AH5" s="1"/>
      <c r="AI5" s="1"/>
    </row>
    <row r="6" spans="1:35" x14ac:dyDescent="0.3">
      <c r="A6" s="34">
        <v>3</v>
      </c>
      <c r="B6" s="4"/>
      <c r="C6" s="5"/>
      <c r="D6" s="4"/>
      <c r="E6" s="4"/>
      <c r="F6" s="4"/>
      <c r="G6" s="36"/>
      <c r="H6" s="2"/>
      <c r="J6" s="1"/>
      <c r="K6" s="37"/>
      <c r="L6" s="37"/>
      <c r="M6" s="37"/>
      <c r="N6" s="37"/>
      <c r="O6" s="37"/>
      <c r="P6" s="1"/>
      <c r="Q6" s="1"/>
      <c r="R6" s="1"/>
      <c r="S6" s="1"/>
      <c r="T6" s="1"/>
      <c r="U6" s="1"/>
      <c r="V6" s="1"/>
      <c r="W6" s="1"/>
      <c r="X6" s="1"/>
      <c r="Y6" s="1"/>
      <c r="Z6" s="1"/>
      <c r="AE6" s="1"/>
      <c r="AF6" s="1"/>
      <c r="AG6" s="1"/>
      <c r="AH6" s="1"/>
      <c r="AI6" s="1"/>
    </row>
    <row r="7" spans="1:35" x14ac:dyDescent="0.3">
      <c r="A7" s="34">
        <v>4</v>
      </c>
      <c r="B7" s="4"/>
      <c r="C7" s="5"/>
      <c r="D7" s="4"/>
      <c r="E7" s="4"/>
      <c r="F7" s="4"/>
      <c r="G7" s="2"/>
      <c r="H7" s="2"/>
      <c r="J7" s="1"/>
      <c r="K7" s="37"/>
      <c r="L7" s="37"/>
      <c r="M7" s="37"/>
      <c r="N7" s="37"/>
      <c r="O7" s="37"/>
      <c r="P7" s="1"/>
      <c r="Q7" s="1"/>
      <c r="R7" s="1"/>
      <c r="S7" s="1"/>
      <c r="T7" s="1"/>
      <c r="U7" s="1"/>
      <c r="V7" s="1"/>
      <c r="W7" s="1"/>
      <c r="X7" s="1"/>
      <c r="Y7" s="1"/>
      <c r="Z7" s="1"/>
      <c r="AE7" s="1"/>
      <c r="AF7" s="1"/>
      <c r="AG7" s="1"/>
      <c r="AH7" s="1"/>
      <c r="AI7" s="1"/>
    </row>
    <row r="8" spans="1:35" x14ac:dyDescent="0.3">
      <c r="A8" s="34">
        <v>5</v>
      </c>
      <c r="B8" s="4"/>
      <c r="C8" s="5"/>
      <c r="D8" s="4"/>
      <c r="E8" s="4"/>
      <c r="F8" s="4"/>
      <c r="G8" s="2"/>
      <c r="H8" s="2"/>
      <c r="J8" s="1"/>
      <c r="K8" s="37"/>
      <c r="L8" s="37"/>
      <c r="M8" s="37"/>
      <c r="N8" s="37"/>
      <c r="O8" s="37"/>
      <c r="P8" s="1"/>
      <c r="Q8" s="1"/>
      <c r="R8" s="1"/>
      <c r="S8" s="1"/>
      <c r="T8" s="1"/>
      <c r="U8" s="1"/>
      <c r="V8" s="1"/>
      <c r="W8" s="1"/>
      <c r="X8" s="1"/>
      <c r="Y8" s="1"/>
      <c r="Z8" s="1"/>
      <c r="AE8" s="1"/>
      <c r="AF8" s="1"/>
      <c r="AG8" s="1"/>
      <c r="AH8" s="1"/>
      <c r="AI8" s="1"/>
    </row>
    <row r="9" spans="1:35" x14ac:dyDescent="0.3">
      <c r="A9" s="34">
        <v>6</v>
      </c>
      <c r="B9" s="4"/>
      <c r="C9" s="5"/>
      <c r="D9" s="4"/>
      <c r="E9" s="4"/>
      <c r="F9" s="4"/>
      <c r="G9" s="2"/>
      <c r="H9" s="2"/>
      <c r="P9" s="1"/>
      <c r="Q9" s="1"/>
      <c r="R9" s="1"/>
      <c r="S9" s="1"/>
      <c r="T9" s="1"/>
      <c r="U9" s="1"/>
      <c r="V9" s="1"/>
      <c r="W9" s="1"/>
      <c r="X9" s="1"/>
      <c r="Y9" s="1"/>
      <c r="Z9" s="1"/>
      <c r="AE9" s="1"/>
      <c r="AF9" s="1"/>
      <c r="AG9" s="1"/>
      <c r="AH9" s="1"/>
      <c r="AI9" s="1"/>
    </row>
    <row r="10" spans="1:35" x14ac:dyDescent="0.3">
      <c r="A10" s="34">
        <v>7</v>
      </c>
      <c r="B10" s="4"/>
      <c r="C10" s="5"/>
      <c r="D10" s="4"/>
      <c r="E10" s="4"/>
      <c r="F10" s="4"/>
      <c r="G10" s="2"/>
      <c r="H10" s="2"/>
      <c r="P10" s="1"/>
      <c r="Q10" s="1"/>
      <c r="R10" s="1"/>
      <c r="S10" s="1"/>
      <c r="T10" s="1"/>
      <c r="U10" s="1"/>
      <c r="V10" s="1"/>
      <c r="W10" s="1"/>
      <c r="X10" s="1"/>
      <c r="Y10" s="1"/>
      <c r="Z10" s="1"/>
      <c r="AE10" s="1"/>
      <c r="AF10" s="1"/>
      <c r="AG10" s="1"/>
      <c r="AH10" s="1"/>
      <c r="AI10" s="1"/>
    </row>
    <row r="11" spans="1:35" x14ac:dyDescent="0.3">
      <c r="A11" s="34">
        <v>8</v>
      </c>
      <c r="B11" s="4"/>
      <c r="C11" s="5"/>
      <c r="D11" s="4"/>
      <c r="E11" s="4"/>
      <c r="F11" s="4"/>
      <c r="G11" s="2"/>
      <c r="H11" s="2"/>
      <c r="P11" s="1"/>
      <c r="Q11" s="1"/>
      <c r="R11" s="1"/>
      <c r="S11" s="1"/>
      <c r="T11" s="1"/>
      <c r="U11" s="1"/>
      <c r="V11" s="1"/>
      <c r="W11" s="1"/>
      <c r="X11" s="1"/>
      <c r="Y11" s="1"/>
      <c r="Z11" s="1"/>
      <c r="AE11" s="1"/>
      <c r="AF11" s="1"/>
      <c r="AG11" s="1"/>
      <c r="AH11" s="1"/>
      <c r="AI11" s="1"/>
    </row>
    <row r="12" spans="1:35" x14ac:dyDescent="0.3">
      <c r="A12" s="34">
        <v>9</v>
      </c>
      <c r="B12" s="4"/>
      <c r="C12" s="5"/>
      <c r="D12" s="4"/>
      <c r="E12" s="4"/>
      <c r="F12" s="4"/>
      <c r="G12" s="2"/>
      <c r="H12" s="2"/>
      <c r="P12" s="1"/>
      <c r="Q12" s="1"/>
      <c r="R12" s="1"/>
      <c r="S12" s="1"/>
      <c r="T12" s="1"/>
      <c r="U12" s="1"/>
      <c r="V12" s="1"/>
      <c r="W12" s="1"/>
      <c r="X12" s="1"/>
      <c r="Y12" s="1"/>
      <c r="Z12" s="1"/>
      <c r="AE12" s="1"/>
      <c r="AF12" s="1"/>
      <c r="AG12" s="1"/>
      <c r="AH12" s="1"/>
      <c r="AI12" s="1"/>
    </row>
    <row r="13" spans="1:35" x14ac:dyDescent="0.3">
      <c r="A13" s="34">
        <v>10</v>
      </c>
      <c r="B13" s="4"/>
      <c r="C13" s="5"/>
      <c r="D13" s="4"/>
      <c r="E13" s="4"/>
      <c r="F13" s="4"/>
      <c r="G13" s="2"/>
      <c r="H13" s="2"/>
      <c r="P13" s="1"/>
      <c r="Q13" s="1"/>
      <c r="R13" s="1"/>
      <c r="S13" s="1"/>
      <c r="T13" s="1"/>
      <c r="U13" s="1"/>
      <c r="V13" s="1"/>
      <c r="W13" s="1"/>
      <c r="X13" s="1"/>
      <c r="Y13" s="1"/>
      <c r="Z13" s="1"/>
      <c r="AE13" s="1"/>
      <c r="AF13" s="1"/>
      <c r="AG13" s="1"/>
      <c r="AH13" s="1"/>
      <c r="AI13" s="1"/>
    </row>
    <row r="14" spans="1:35" x14ac:dyDescent="0.3">
      <c r="A14" s="34">
        <v>11</v>
      </c>
      <c r="B14" s="4"/>
      <c r="C14" s="5"/>
      <c r="D14" s="4"/>
      <c r="E14" s="4"/>
      <c r="F14" s="4"/>
      <c r="G14" s="2"/>
      <c r="H14" s="2"/>
      <c r="P14" s="1"/>
      <c r="Q14" s="1"/>
      <c r="R14" s="1"/>
      <c r="S14" s="1"/>
      <c r="T14" s="1"/>
      <c r="U14" s="1"/>
      <c r="V14" s="1"/>
      <c r="W14" s="1"/>
      <c r="X14" s="1"/>
      <c r="Y14" s="1"/>
      <c r="Z14" s="1"/>
      <c r="AE14" s="1"/>
      <c r="AF14" s="1"/>
      <c r="AG14" s="1"/>
      <c r="AH14" s="1"/>
      <c r="AI14" s="1"/>
    </row>
    <row r="15" spans="1:35" x14ac:dyDescent="0.3">
      <c r="A15" s="34">
        <v>12</v>
      </c>
      <c r="B15" s="4"/>
      <c r="C15" s="5"/>
      <c r="D15" s="4"/>
      <c r="E15" s="4"/>
      <c r="F15" s="4"/>
      <c r="G15" s="2"/>
      <c r="H15" s="2"/>
      <c r="P15" s="1"/>
      <c r="Q15" s="1"/>
      <c r="R15" s="1"/>
      <c r="S15" s="1"/>
      <c r="T15" s="1"/>
      <c r="U15" s="1"/>
      <c r="V15" s="1"/>
      <c r="W15" s="1"/>
      <c r="X15" s="1"/>
      <c r="Y15" s="1"/>
      <c r="Z15" s="1"/>
      <c r="AE15" s="1"/>
      <c r="AF15" s="1"/>
      <c r="AG15" s="1"/>
      <c r="AH15" s="1"/>
      <c r="AI15" s="1"/>
    </row>
    <row r="16" spans="1:35" x14ac:dyDescent="0.3">
      <c r="A16" s="34">
        <v>13</v>
      </c>
      <c r="B16" s="4"/>
      <c r="C16" s="5"/>
      <c r="D16" s="4"/>
      <c r="E16" s="4"/>
      <c r="F16" s="4"/>
      <c r="G16" s="2"/>
      <c r="H16" s="2"/>
      <c r="P16" s="1"/>
      <c r="Q16" s="1"/>
      <c r="R16" s="1"/>
      <c r="S16" s="1"/>
      <c r="T16" s="1"/>
      <c r="U16" s="1"/>
      <c r="V16" s="1"/>
      <c r="W16" s="1"/>
      <c r="X16" s="1"/>
      <c r="Y16" s="1"/>
      <c r="Z16" s="1"/>
      <c r="AE16" s="1"/>
      <c r="AF16" s="1"/>
      <c r="AG16" s="1"/>
      <c r="AH16" s="1"/>
      <c r="AI16" s="1"/>
    </row>
    <row r="17" spans="1:35" x14ac:dyDescent="0.3">
      <c r="A17" s="34">
        <v>14</v>
      </c>
      <c r="B17" s="4"/>
      <c r="C17" s="5"/>
      <c r="D17" s="4"/>
      <c r="E17" s="4"/>
      <c r="F17" s="4"/>
      <c r="G17" s="2"/>
      <c r="H17" s="2"/>
      <c r="P17" s="1"/>
      <c r="Q17" s="1"/>
      <c r="R17" s="1"/>
      <c r="S17" s="1"/>
      <c r="T17" s="1"/>
      <c r="U17" s="1"/>
      <c r="V17" s="1"/>
      <c r="W17" s="1"/>
      <c r="X17" s="1"/>
      <c r="Y17" s="1"/>
      <c r="Z17" s="1"/>
      <c r="AE17" s="1"/>
      <c r="AF17" s="1"/>
      <c r="AG17" s="1"/>
      <c r="AH17" s="1"/>
      <c r="AI17" s="1"/>
    </row>
    <row r="18" spans="1:35" x14ac:dyDescent="0.3">
      <c r="A18" s="34">
        <v>15</v>
      </c>
      <c r="B18" s="4"/>
      <c r="C18" s="5"/>
      <c r="D18" s="4"/>
      <c r="E18" s="4"/>
      <c r="F18" s="4"/>
      <c r="G18" s="2"/>
      <c r="H18" s="2"/>
      <c r="P18" s="1"/>
      <c r="Q18" s="1"/>
      <c r="R18" s="1"/>
      <c r="S18" s="1"/>
      <c r="T18" s="1"/>
      <c r="U18" s="1"/>
      <c r="V18" s="1"/>
      <c r="W18" s="1"/>
      <c r="X18" s="1"/>
      <c r="Y18" s="1"/>
      <c r="Z18" s="1"/>
      <c r="AE18" s="1"/>
      <c r="AF18" s="1"/>
      <c r="AG18" s="1"/>
      <c r="AH18" s="1"/>
      <c r="AI18" s="1"/>
    </row>
    <row r="19" spans="1:35" x14ac:dyDescent="0.3">
      <c r="A19" s="34">
        <v>16</v>
      </c>
      <c r="B19" s="4"/>
      <c r="C19" s="5"/>
      <c r="D19" s="4"/>
      <c r="E19" s="4"/>
      <c r="F19" s="4"/>
      <c r="G19" s="2"/>
      <c r="H19" s="2"/>
      <c r="P19" s="1"/>
      <c r="Q19" s="1"/>
      <c r="R19" s="1"/>
      <c r="S19" s="1"/>
      <c r="T19" s="1"/>
      <c r="U19" s="1"/>
      <c r="V19" s="1"/>
      <c r="W19" s="1"/>
      <c r="X19" s="1"/>
      <c r="Y19" s="1"/>
      <c r="Z19" s="1"/>
      <c r="AE19" s="1"/>
      <c r="AF19" s="1"/>
      <c r="AG19" s="1"/>
      <c r="AH19" s="1"/>
      <c r="AI19" s="1"/>
    </row>
    <row r="20" spans="1:35" x14ac:dyDescent="0.3">
      <c r="A20" s="34">
        <v>17</v>
      </c>
      <c r="B20" s="4"/>
      <c r="C20" s="5"/>
      <c r="D20" s="4"/>
      <c r="E20" s="4"/>
      <c r="F20" s="4"/>
      <c r="G20" s="2"/>
      <c r="H20" s="2"/>
      <c r="P20" s="1"/>
      <c r="Q20" s="1"/>
      <c r="R20" s="1"/>
      <c r="S20" s="1"/>
      <c r="T20" s="1"/>
      <c r="U20" s="1"/>
      <c r="V20" s="1"/>
      <c r="W20" s="1"/>
      <c r="X20" s="1"/>
      <c r="Y20" s="1"/>
      <c r="Z20" s="1"/>
      <c r="AE20" s="1"/>
      <c r="AF20" s="1"/>
      <c r="AG20" s="1"/>
      <c r="AH20" s="1"/>
      <c r="AI20" s="1"/>
    </row>
    <row r="21" spans="1:35" x14ac:dyDescent="0.3">
      <c r="A21" s="34">
        <v>18</v>
      </c>
      <c r="B21" s="4"/>
      <c r="C21" s="5"/>
      <c r="D21" s="4"/>
      <c r="E21" s="4"/>
      <c r="F21" s="4"/>
      <c r="G21" s="2"/>
      <c r="H21" s="2"/>
      <c r="P21" s="1"/>
      <c r="Q21" s="1"/>
      <c r="R21" s="1"/>
      <c r="S21" s="1"/>
      <c r="T21" s="1"/>
      <c r="U21" s="1"/>
      <c r="V21" s="1"/>
      <c r="W21" s="1"/>
      <c r="X21" s="1"/>
      <c r="Y21" s="1"/>
      <c r="Z21" s="1"/>
      <c r="AE21" s="1"/>
      <c r="AF21" s="1"/>
      <c r="AG21" s="1"/>
      <c r="AH21" s="1"/>
      <c r="AI21" s="1"/>
    </row>
    <row r="22" spans="1:35" x14ac:dyDescent="0.3">
      <c r="A22" s="34">
        <v>19</v>
      </c>
      <c r="B22" s="4"/>
      <c r="C22" s="5"/>
      <c r="D22" s="4"/>
      <c r="E22" s="4"/>
      <c r="F22" s="4"/>
      <c r="G22" s="2"/>
      <c r="H22" s="2"/>
      <c r="P22" s="1"/>
      <c r="Q22" s="1"/>
      <c r="R22" s="1"/>
      <c r="S22" s="1"/>
      <c r="T22" s="1"/>
      <c r="U22" s="1"/>
      <c r="V22" s="1"/>
      <c r="W22" s="1"/>
      <c r="X22" s="1"/>
      <c r="Y22" s="1"/>
      <c r="Z22" s="1"/>
      <c r="AE22" s="1"/>
      <c r="AF22" s="1"/>
      <c r="AG22" s="1"/>
      <c r="AH22" s="1"/>
      <c r="AI22" s="1"/>
    </row>
    <row r="23" spans="1:35" x14ac:dyDescent="0.3">
      <c r="A23" s="34">
        <v>20</v>
      </c>
      <c r="B23" s="4"/>
      <c r="C23" s="5"/>
      <c r="D23" s="4"/>
      <c r="E23" s="4"/>
      <c r="F23" s="4"/>
      <c r="G23" s="2"/>
      <c r="H23" s="2"/>
      <c r="P23" s="1"/>
      <c r="Q23" s="1"/>
      <c r="R23" s="1"/>
      <c r="S23" s="1"/>
      <c r="T23" s="1"/>
      <c r="U23" s="1"/>
      <c r="V23" s="1"/>
      <c r="W23" s="1"/>
      <c r="X23" s="1"/>
      <c r="Y23" s="1"/>
      <c r="Z23" s="1"/>
      <c r="AE23" s="1"/>
      <c r="AF23" s="1"/>
      <c r="AG23" s="1"/>
      <c r="AH23" s="1"/>
      <c r="AI23" s="1"/>
    </row>
    <row r="24" spans="1:35" x14ac:dyDescent="0.3">
      <c r="P24" s="1"/>
      <c r="Q24" s="1"/>
      <c r="R24" s="1"/>
      <c r="S24" s="1"/>
      <c r="T24" s="1"/>
      <c r="U24" s="1"/>
      <c r="V24" s="1"/>
      <c r="W24" s="1"/>
      <c r="X24" s="1"/>
      <c r="Y24" s="1"/>
      <c r="Z24" s="1"/>
      <c r="AA24" s="1"/>
      <c r="AB24" s="1"/>
      <c r="AC24" s="1"/>
      <c r="AD24" s="1"/>
      <c r="AE24" s="1"/>
      <c r="AF24" s="1"/>
      <c r="AG24" s="1"/>
      <c r="AH24" s="1"/>
      <c r="AI24" s="1"/>
    </row>
    <row r="25" spans="1:35" x14ac:dyDescent="0.3">
      <c r="P25" s="1"/>
      <c r="Q25" s="1"/>
      <c r="R25" s="1"/>
      <c r="S25" s="1"/>
      <c r="T25" s="1"/>
      <c r="U25" s="1"/>
      <c r="V25" s="1"/>
      <c r="W25" s="1"/>
      <c r="X25" s="1"/>
      <c r="Y25" s="1"/>
      <c r="Z25" s="1"/>
      <c r="AA25" s="1"/>
      <c r="AB25" s="1"/>
      <c r="AC25" s="1"/>
      <c r="AD25" s="1"/>
      <c r="AE25" s="1"/>
      <c r="AF25" s="1"/>
      <c r="AG25" s="1"/>
      <c r="AH25" s="1"/>
      <c r="AI25" s="1"/>
    </row>
    <row r="26" spans="1:35" x14ac:dyDescent="0.3">
      <c r="P26" s="1"/>
      <c r="Q26" s="1"/>
      <c r="R26" s="1"/>
      <c r="S26" s="1"/>
      <c r="T26" s="1"/>
      <c r="U26" s="1"/>
      <c r="V26" s="1"/>
      <c r="W26" s="1"/>
      <c r="X26" s="1"/>
      <c r="Y26" s="1"/>
      <c r="Z26" s="1"/>
      <c r="AA26" s="1"/>
      <c r="AB26" s="1"/>
      <c r="AC26" s="1"/>
      <c r="AD26" s="1"/>
      <c r="AE26" s="1"/>
      <c r="AF26" s="1"/>
      <c r="AG26" s="1"/>
      <c r="AH26" s="1"/>
      <c r="AI26" s="1"/>
    </row>
    <row r="27" spans="1:35" x14ac:dyDescent="0.3">
      <c r="P27" s="1"/>
      <c r="Q27" s="1"/>
      <c r="R27" s="1"/>
      <c r="S27" s="1"/>
      <c r="T27" s="1"/>
      <c r="U27" s="1"/>
      <c r="V27" s="1"/>
      <c r="W27" s="1"/>
      <c r="X27" s="1"/>
      <c r="Y27" s="1"/>
      <c r="Z27" s="1"/>
      <c r="AA27" s="1"/>
      <c r="AB27" s="1"/>
      <c r="AC27" s="1"/>
      <c r="AD27" s="1"/>
      <c r="AE27" s="1"/>
      <c r="AF27" s="1"/>
      <c r="AG27" s="1"/>
      <c r="AH27" s="1"/>
      <c r="AI27" s="1"/>
    </row>
    <row r="28" spans="1:35" x14ac:dyDescent="0.3">
      <c r="P28" s="1"/>
      <c r="Q28" s="1"/>
      <c r="R28" s="1"/>
      <c r="S28" s="1"/>
      <c r="T28" s="1"/>
      <c r="U28" s="1"/>
      <c r="V28" s="1"/>
      <c r="W28" s="1"/>
      <c r="X28" s="1"/>
      <c r="Y28" s="1"/>
      <c r="Z28" s="1"/>
      <c r="AA28" s="1"/>
      <c r="AB28" s="1"/>
      <c r="AC28" s="1"/>
      <c r="AD28" s="1"/>
      <c r="AE28" s="1"/>
      <c r="AF28" s="1"/>
      <c r="AG28" s="1"/>
      <c r="AH28" s="1"/>
      <c r="AI28" s="1"/>
    </row>
    <row r="29" spans="1:35" x14ac:dyDescent="0.3">
      <c r="P29" s="1"/>
      <c r="Q29" s="1"/>
      <c r="R29" s="1"/>
      <c r="S29" s="1"/>
      <c r="T29" s="1"/>
      <c r="U29" s="1"/>
      <c r="V29" s="1"/>
      <c r="W29" s="1"/>
      <c r="X29" s="1"/>
      <c r="Y29" s="1"/>
      <c r="Z29" s="1"/>
      <c r="AA29" s="1"/>
      <c r="AB29" s="1"/>
      <c r="AC29" s="1"/>
      <c r="AD29" s="1"/>
      <c r="AE29" s="1"/>
      <c r="AF29" s="1"/>
      <c r="AG29" s="1"/>
      <c r="AH29" s="1"/>
      <c r="AI29" s="1"/>
    </row>
    <row r="30" spans="1:35" x14ac:dyDescent="0.3">
      <c r="P30" s="1"/>
      <c r="Q30" s="1"/>
      <c r="R30" s="1"/>
      <c r="S30" s="1"/>
      <c r="T30" s="1"/>
      <c r="U30" s="1"/>
      <c r="V30" s="1"/>
      <c r="W30" s="1"/>
      <c r="X30" s="1"/>
      <c r="Y30" s="1"/>
      <c r="Z30" s="1"/>
      <c r="AA30" s="1"/>
      <c r="AB30" s="1"/>
      <c r="AC30" s="1"/>
      <c r="AD30" s="1"/>
      <c r="AE30" s="1"/>
      <c r="AF30" s="1"/>
      <c r="AG30" s="1"/>
      <c r="AH30" s="1"/>
      <c r="AI30" s="1"/>
    </row>
    <row r="31" spans="1:35" x14ac:dyDescent="0.3">
      <c r="P31" s="1"/>
      <c r="Q31" s="1"/>
      <c r="R31" s="1"/>
      <c r="S31" s="1"/>
      <c r="T31" s="1"/>
      <c r="U31" s="1"/>
      <c r="V31" s="1"/>
      <c r="W31" s="1"/>
      <c r="X31" s="1"/>
      <c r="Y31" s="1"/>
      <c r="Z31" s="1"/>
      <c r="AA31" s="1"/>
      <c r="AB31" s="1"/>
      <c r="AC31" s="1"/>
      <c r="AD31" s="1"/>
      <c r="AE31" s="1"/>
      <c r="AF31" s="1"/>
      <c r="AG31" s="1"/>
      <c r="AH31" s="1"/>
      <c r="AI31" s="1"/>
    </row>
    <row r="32" spans="1:35" x14ac:dyDescent="0.3">
      <c r="P32" s="1"/>
      <c r="Q32" s="1"/>
      <c r="R32" s="1"/>
      <c r="S32" s="1"/>
      <c r="T32" s="1"/>
      <c r="U32" s="1"/>
      <c r="V32" s="1"/>
      <c r="W32" s="1"/>
      <c r="X32" s="1"/>
      <c r="Y32" s="1"/>
      <c r="Z32" s="1"/>
      <c r="AA32" s="1"/>
      <c r="AB32" s="1"/>
      <c r="AC32" s="1"/>
      <c r="AD32" s="1"/>
      <c r="AE32" s="1"/>
      <c r="AF32" s="1"/>
      <c r="AG32" s="1"/>
      <c r="AH32" s="1"/>
      <c r="AI32" s="1"/>
    </row>
    <row r="33" spans="16:35" x14ac:dyDescent="0.3">
      <c r="P33" s="1"/>
      <c r="Q33" s="1"/>
      <c r="R33" s="1"/>
      <c r="S33" s="1"/>
      <c r="T33" s="1"/>
      <c r="U33" s="1"/>
      <c r="V33" s="1"/>
      <c r="W33" s="1"/>
      <c r="X33" s="1"/>
      <c r="Y33" s="1"/>
      <c r="Z33" s="1"/>
      <c r="AA33" s="1"/>
      <c r="AB33" s="1"/>
      <c r="AC33" s="1"/>
      <c r="AD33" s="1"/>
      <c r="AE33" s="1"/>
      <c r="AF33" s="1"/>
      <c r="AG33" s="1"/>
      <c r="AH33" s="1"/>
      <c r="AI33" s="1"/>
    </row>
    <row r="34" spans="16:35" x14ac:dyDescent="0.3">
      <c r="P34" s="1"/>
      <c r="Q34" s="1"/>
      <c r="R34" s="1"/>
      <c r="S34" s="1"/>
      <c r="T34" s="1"/>
      <c r="U34" s="1"/>
      <c r="V34" s="1"/>
      <c r="W34" s="1"/>
      <c r="X34" s="1"/>
      <c r="Y34" s="1"/>
      <c r="Z34" s="1"/>
      <c r="AA34" s="1"/>
      <c r="AB34" s="1"/>
      <c r="AC34" s="1"/>
      <c r="AD34" s="1"/>
      <c r="AE34" s="1"/>
      <c r="AF34" s="1"/>
      <c r="AG34" s="1"/>
      <c r="AH34" s="1"/>
      <c r="AI34" s="1"/>
    </row>
    <row r="35" spans="16:35" x14ac:dyDescent="0.3">
      <c r="P35" s="1"/>
      <c r="Q35" s="1"/>
      <c r="R35" s="1"/>
      <c r="S35" s="1"/>
      <c r="T35" s="1"/>
      <c r="U35" s="1"/>
      <c r="V35" s="1"/>
      <c r="W35" s="1"/>
      <c r="X35" s="1"/>
      <c r="Y35" s="1"/>
      <c r="Z35" s="1"/>
      <c r="AA35" s="1"/>
      <c r="AB35" s="1"/>
      <c r="AC35" s="1"/>
      <c r="AD35" s="1"/>
      <c r="AE35" s="1"/>
      <c r="AF35" s="1"/>
      <c r="AG35" s="1"/>
      <c r="AH35" s="1"/>
      <c r="AI35" s="1"/>
    </row>
    <row r="36" spans="16:35" x14ac:dyDescent="0.3">
      <c r="P36" s="1"/>
      <c r="Q36" s="1"/>
      <c r="R36" s="1"/>
      <c r="S36" s="1"/>
      <c r="T36" s="1"/>
      <c r="U36" s="1"/>
      <c r="V36" s="1"/>
      <c r="W36" s="1"/>
      <c r="X36" s="1"/>
      <c r="Y36" s="1"/>
      <c r="Z36" s="1"/>
      <c r="AA36" s="1"/>
      <c r="AB36" s="1"/>
      <c r="AC36" s="1"/>
      <c r="AD36" s="1"/>
      <c r="AE36" s="1"/>
      <c r="AF36" s="1"/>
      <c r="AG36" s="1"/>
      <c r="AH36" s="1"/>
      <c r="AI36" s="1"/>
    </row>
    <row r="37" spans="16:35" x14ac:dyDescent="0.3">
      <c r="P37" s="1"/>
      <c r="Q37" s="1"/>
      <c r="R37" s="1"/>
      <c r="S37" s="1"/>
      <c r="T37" s="1"/>
      <c r="U37" s="1"/>
      <c r="V37" s="1"/>
      <c r="W37" s="1"/>
      <c r="X37" s="1"/>
      <c r="Y37" s="1"/>
      <c r="Z37" s="1"/>
      <c r="AA37" s="1"/>
      <c r="AB37" s="1"/>
      <c r="AC37" s="1"/>
      <c r="AD37" s="1"/>
      <c r="AE37" s="1"/>
      <c r="AF37" s="1"/>
      <c r="AG37" s="1"/>
      <c r="AH37" s="1"/>
      <c r="AI37" s="1"/>
    </row>
    <row r="38" spans="16:35" x14ac:dyDescent="0.3">
      <c r="P38" s="1"/>
      <c r="Q38" s="1"/>
      <c r="R38" s="1"/>
      <c r="S38" s="1"/>
      <c r="T38" s="1"/>
      <c r="U38" s="1"/>
      <c r="V38" s="1"/>
      <c r="W38" s="1"/>
      <c r="X38" s="1"/>
      <c r="Y38" s="1"/>
      <c r="Z38" s="1"/>
      <c r="AA38" s="1"/>
      <c r="AB38" s="1"/>
      <c r="AC38" s="1"/>
      <c r="AD38" s="1"/>
      <c r="AE38" s="1"/>
      <c r="AF38" s="1"/>
      <c r="AG38" s="1"/>
      <c r="AH38" s="1"/>
      <c r="AI38" s="1"/>
    </row>
    <row r="39" spans="16:35" x14ac:dyDescent="0.3">
      <c r="P39" s="1"/>
      <c r="Q39" s="1"/>
      <c r="R39" s="1"/>
      <c r="S39" s="1"/>
      <c r="T39" s="1"/>
      <c r="U39" s="1"/>
      <c r="V39" s="1"/>
      <c r="W39" s="1"/>
      <c r="X39" s="1"/>
      <c r="Y39" s="1"/>
      <c r="Z39" s="1"/>
      <c r="AA39" s="1"/>
      <c r="AB39" s="1"/>
      <c r="AC39" s="1"/>
      <c r="AD39" s="1"/>
      <c r="AE39" s="1"/>
      <c r="AF39" s="1"/>
      <c r="AG39" s="1"/>
      <c r="AH39" s="1"/>
      <c r="AI39" s="1"/>
    </row>
    <row r="40" spans="16:35" x14ac:dyDescent="0.3">
      <c r="P40" s="1"/>
      <c r="Q40" s="1"/>
      <c r="R40" s="1"/>
      <c r="S40" s="1"/>
      <c r="T40" s="1"/>
      <c r="U40" s="1"/>
      <c r="V40" s="1"/>
      <c r="W40" s="1"/>
      <c r="X40" s="1"/>
      <c r="Y40" s="1"/>
      <c r="Z40" s="1"/>
      <c r="AA40" s="1"/>
      <c r="AB40" s="1"/>
      <c r="AC40" s="1"/>
      <c r="AD40" s="1"/>
      <c r="AE40" s="1"/>
      <c r="AF40" s="1"/>
      <c r="AG40" s="1"/>
      <c r="AH40" s="1"/>
      <c r="AI40" s="1"/>
    </row>
    <row r="41" spans="16:35" x14ac:dyDescent="0.3">
      <c r="P41" s="1"/>
      <c r="Q41" s="1"/>
      <c r="R41" s="1"/>
      <c r="S41" s="1"/>
      <c r="T41" s="1"/>
      <c r="U41" s="1"/>
      <c r="V41" s="1"/>
      <c r="W41" s="1"/>
      <c r="X41" s="1"/>
      <c r="Y41" s="1"/>
      <c r="Z41" s="1"/>
      <c r="AA41" s="1"/>
      <c r="AB41" s="1"/>
      <c r="AC41" s="1"/>
      <c r="AD41" s="1"/>
      <c r="AE41" s="1"/>
      <c r="AF41" s="1"/>
      <c r="AG41" s="1"/>
      <c r="AH41" s="1"/>
      <c r="AI41" s="1"/>
    </row>
    <row r="42" spans="16:35" x14ac:dyDescent="0.3">
      <c r="P42" s="1"/>
      <c r="Q42" s="1"/>
      <c r="R42" s="1"/>
      <c r="S42" s="1"/>
      <c r="T42" s="1"/>
      <c r="U42" s="1"/>
      <c r="V42" s="1"/>
      <c r="W42" s="1"/>
      <c r="X42" s="1"/>
      <c r="Y42" s="1"/>
      <c r="Z42" s="1"/>
      <c r="AA42" s="1"/>
      <c r="AB42" s="1"/>
      <c r="AC42" s="1"/>
      <c r="AD42" s="1"/>
      <c r="AE42" s="1"/>
      <c r="AF42" s="1"/>
      <c r="AG42" s="1"/>
      <c r="AH42" s="1"/>
      <c r="AI42" s="1"/>
    </row>
    <row r="43" spans="16:35" x14ac:dyDescent="0.3">
      <c r="P43" s="1"/>
      <c r="Q43" s="1"/>
      <c r="R43" s="1"/>
      <c r="S43" s="1"/>
      <c r="T43" s="1"/>
      <c r="U43" s="1"/>
      <c r="V43" s="1"/>
      <c r="W43" s="1"/>
      <c r="X43" s="1"/>
      <c r="Y43" s="1"/>
      <c r="Z43" s="1"/>
      <c r="AA43" s="1"/>
      <c r="AB43" s="1"/>
      <c r="AC43" s="1"/>
      <c r="AD43" s="1"/>
      <c r="AE43" s="1"/>
      <c r="AF43" s="1"/>
      <c r="AG43" s="1"/>
      <c r="AH43" s="1"/>
      <c r="AI43" s="1"/>
    </row>
    <row r="44" spans="16:35" x14ac:dyDescent="0.3">
      <c r="P44" s="1"/>
      <c r="Q44" s="1"/>
      <c r="R44" s="1"/>
      <c r="S44" s="1"/>
      <c r="T44" s="1"/>
      <c r="U44" s="1"/>
      <c r="V44" s="1"/>
      <c r="W44" s="1"/>
      <c r="X44" s="1"/>
      <c r="Y44" s="1"/>
      <c r="Z44" s="1"/>
      <c r="AA44" s="1"/>
      <c r="AB44" s="1"/>
      <c r="AC44" s="1"/>
      <c r="AD44" s="1"/>
      <c r="AE44" s="1"/>
      <c r="AF44" s="1"/>
      <c r="AG44" s="1"/>
      <c r="AH44" s="1"/>
      <c r="AI44" s="1"/>
    </row>
    <row r="45" spans="16:35" x14ac:dyDescent="0.3">
      <c r="P45" s="1"/>
      <c r="Q45" s="1"/>
      <c r="R45" s="1"/>
      <c r="S45" s="1"/>
      <c r="T45" s="1"/>
      <c r="U45" s="1"/>
      <c r="V45" s="1"/>
      <c r="W45" s="1"/>
      <c r="X45" s="1"/>
      <c r="Y45" s="1"/>
      <c r="Z45" s="1"/>
      <c r="AA45" s="1"/>
      <c r="AB45" s="1"/>
      <c r="AC45" s="1"/>
      <c r="AD45" s="1"/>
      <c r="AE45" s="1"/>
      <c r="AF45" s="1"/>
      <c r="AG45" s="1"/>
      <c r="AH45" s="1"/>
      <c r="AI45" s="1"/>
    </row>
    <row r="46" spans="16:35" x14ac:dyDescent="0.3">
      <c r="P46" s="1"/>
      <c r="Q46" s="1"/>
      <c r="R46" s="1"/>
      <c r="S46" s="1"/>
      <c r="T46" s="1"/>
      <c r="U46" s="1"/>
      <c r="V46" s="1"/>
      <c r="W46" s="1"/>
      <c r="X46" s="1"/>
      <c r="Y46" s="1"/>
      <c r="Z46" s="1"/>
      <c r="AA46" s="1"/>
      <c r="AB46" s="1"/>
      <c r="AC46" s="1"/>
      <c r="AD46" s="1"/>
      <c r="AE46" s="1"/>
      <c r="AF46" s="1"/>
      <c r="AG46" s="1"/>
      <c r="AH46" s="1"/>
      <c r="AI46" s="1"/>
    </row>
    <row r="47" spans="16:35" x14ac:dyDescent="0.3">
      <c r="P47" s="1"/>
      <c r="Q47" s="1"/>
      <c r="R47" s="1"/>
      <c r="S47" s="1"/>
      <c r="T47" s="1"/>
      <c r="U47" s="1"/>
      <c r="V47" s="1"/>
      <c r="W47" s="1"/>
      <c r="X47" s="1"/>
      <c r="Y47" s="1"/>
      <c r="Z47" s="1"/>
      <c r="AA47" s="1"/>
      <c r="AB47" s="1"/>
      <c r="AC47" s="1"/>
      <c r="AD47" s="1"/>
      <c r="AE47" s="1"/>
      <c r="AF47" s="1"/>
      <c r="AG47" s="1"/>
      <c r="AH47" s="1"/>
      <c r="AI47" s="1"/>
    </row>
    <row r="48" spans="16:35" x14ac:dyDescent="0.3">
      <c r="P48" s="1"/>
      <c r="Q48" s="1"/>
      <c r="R48" s="1"/>
      <c r="S48" s="1"/>
      <c r="T48" s="1"/>
      <c r="U48" s="1"/>
      <c r="V48" s="1"/>
      <c r="W48" s="1"/>
      <c r="X48" s="1"/>
      <c r="Y48" s="1"/>
      <c r="Z48" s="1"/>
      <c r="AA48" s="1"/>
      <c r="AB48" s="1"/>
      <c r="AC48" s="1"/>
      <c r="AD48" s="1"/>
      <c r="AE48" s="1"/>
      <c r="AF48" s="1"/>
      <c r="AG48" s="1"/>
      <c r="AH48" s="1"/>
      <c r="AI48" s="1"/>
    </row>
    <row r="49" spans="16:35" x14ac:dyDescent="0.3">
      <c r="P49" s="1"/>
      <c r="Q49" s="1"/>
      <c r="R49" s="1"/>
      <c r="S49" s="1"/>
      <c r="T49" s="1"/>
      <c r="U49" s="1"/>
      <c r="V49" s="1"/>
      <c r="W49" s="1"/>
      <c r="X49" s="1"/>
      <c r="Y49" s="1"/>
      <c r="Z49" s="1"/>
      <c r="AA49" s="1"/>
      <c r="AB49" s="1"/>
      <c r="AC49" s="1"/>
      <c r="AD49" s="1"/>
      <c r="AE49" s="1"/>
      <c r="AF49" s="1"/>
      <c r="AG49" s="1"/>
      <c r="AH49" s="1"/>
      <c r="AI49" s="1"/>
    </row>
    <row r="50" spans="16:35" x14ac:dyDescent="0.3">
      <c r="P50" s="1"/>
      <c r="Q50" s="1"/>
      <c r="R50" s="1"/>
      <c r="S50" s="1"/>
      <c r="T50" s="1"/>
      <c r="U50" s="1"/>
      <c r="V50" s="1"/>
      <c r="W50" s="1"/>
      <c r="X50" s="1"/>
      <c r="Y50" s="1"/>
      <c r="Z50" s="1"/>
      <c r="AA50" s="1"/>
      <c r="AB50" s="1"/>
      <c r="AC50" s="1"/>
      <c r="AD50" s="1"/>
      <c r="AE50" s="1"/>
      <c r="AF50" s="1"/>
      <c r="AG50" s="1"/>
      <c r="AH50" s="1"/>
      <c r="AI50" s="1"/>
    </row>
    <row r="51" spans="16:35" x14ac:dyDescent="0.3">
      <c r="P51" s="1"/>
      <c r="Q51" s="1"/>
      <c r="R51" s="1"/>
      <c r="S51" s="1"/>
      <c r="T51" s="1"/>
      <c r="U51" s="1"/>
      <c r="V51" s="1"/>
      <c r="W51" s="1"/>
      <c r="X51" s="1"/>
      <c r="Y51" s="1"/>
      <c r="Z51" s="1"/>
      <c r="AA51" s="1"/>
      <c r="AB51" s="1"/>
      <c r="AC51" s="1"/>
      <c r="AD51" s="1"/>
      <c r="AE51" s="1"/>
      <c r="AF51" s="1"/>
      <c r="AG51" s="1"/>
      <c r="AH51" s="1"/>
      <c r="AI51" s="1"/>
    </row>
    <row r="52" spans="16:35" x14ac:dyDescent="0.3">
      <c r="P52" s="1"/>
      <c r="Q52" s="1"/>
      <c r="R52" s="1"/>
      <c r="S52" s="1"/>
      <c r="T52" s="1"/>
      <c r="U52" s="1"/>
      <c r="V52" s="1"/>
      <c r="W52" s="1"/>
      <c r="X52" s="1"/>
      <c r="Y52" s="1"/>
      <c r="Z52" s="1"/>
      <c r="AA52" s="1"/>
      <c r="AB52" s="1"/>
      <c r="AC52" s="1"/>
      <c r="AD52" s="1"/>
      <c r="AE52" s="1"/>
      <c r="AF52" s="1"/>
      <c r="AG52" s="1"/>
      <c r="AH52" s="1"/>
      <c r="AI52" s="1"/>
    </row>
    <row r="53" spans="16:35" x14ac:dyDescent="0.3">
      <c r="P53" s="1"/>
      <c r="Q53" s="1"/>
      <c r="R53" s="1"/>
      <c r="S53" s="1"/>
      <c r="T53" s="1"/>
      <c r="U53" s="1"/>
      <c r="V53" s="1"/>
      <c r="W53" s="1"/>
      <c r="X53" s="1"/>
      <c r="Y53" s="1"/>
      <c r="Z53" s="1"/>
      <c r="AA53" s="1"/>
      <c r="AB53" s="1"/>
      <c r="AC53" s="1"/>
      <c r="AD53" s="1"/>
      <c r="AE53" s="1"/>
      <c r="AF53" s="1"/>
      <c r="AG53" s="1"/>
      <c r="AH53" s="1"/>
      <c r="AI53" s="1"/>
    </row>
    <row r="54" spans="16:35" x14ac:dyDescent="0.3">
      <c r="P54" s="1"/>
      <c r="Q54" s="1"/>
      <c r="R54" s="1"/>
      <c r="S54" s="1"/>
      <c r="T54" s="1"/>
      <c r="U54" s="1"/>
      <c r="V54" s="1"/>
      <c r="W54" s="1"/>
      <c r="X54" s="1"/>
      <c r="Y54" s="1"/>
      <c r="Z54" s="1"/>
      <c r="AA54" s="1"/>
      <c r="AB54" s="1"/>
      <c r="AC54" s="1"/>
      <c r="AD54" s="1"/>
      <c r="AE54" s="1"/>
      <c r="AF54" s="1"/>
      <c r="AG54" s="1"/>
      <c r="AH54" s="1"/>
      <c r="AI54" s="1"/>
    </row>
    <row r="55" spans="16:35" x14ac:dyDescent="0.3">
      <c r="P55" s="1"/>
      <c r="Q55" s="1"/>
      <c r="R55" s="1"/>
      <c r="S55" s="1"/>
      <c r="T55" s="1"/>
      <c r="U55" s="1"/>
      <c r="V55" s="1"/>
      <c r="W55" s="1"/>
      <c r="X55" s="1"/>
      <c r="Y55" s="1"/>
      <c r="Z55" s="1"/>
      <c r="AA55" s="1"/>
      <c r="AB55" s="1"/>
      <c r="AC55" s="1"/>
      <c r="AD55" s="1"/>
      <c r="AE55" s="1"/>
      <c r="AF55" s="1"/>
      <c r="AG55" s="1"/>
      <c r="AH55" s="1"/>
      <c r="AI55" s="1"/>
    </row>
    <row r="56" spans="16:35" x14ac:dyDescent="0.3">
      <c r="P56" s="1"/>
      <c r="Q56" s="1"/>
      <c r="R56" s="1"/>
      <c r="S56" s="1"/>
      <c r="T56" s="1"/>
      <c r="U56" s="1"/>
      <c r="V56" s="1"/>
      <c r="W56" s="1"/>
      <c r="X56" s="1"/>
      <c r="Y56" s="1"/>
      <c r="Z56" s="1"/>
      <c r="AA56" s="1"/>
      <c r="AB56" s="1"/>
      <c r="AC56" s="1"/>
      <c r="AD56" s="1"/>
      <c r="AE56" s="1"/>
      <c r="AF56" s="1"/>
      <c r="AG56" s="1"/>
      <c r="AH56" s="1"/>
      <c r="AI56" s="1"/>
    </row>
    <row r="57" spans="16:35" x14ac:dyDescent="0.3">
      <c r="P57" s="1"/>
      <c r="Q57" s="1"/>
      <c r="R57" s="1"/>
      <c r="S57" s="1"/>
      <c r="T57" s="1"/>
      <c r="U57" s="1"/>
      <c r="V57" s="1"/>
      <c r="W57" s="1"/>
      <c r="X57" s="1"/>
      <c r="Y57" s="1"/>
      <c r="Z57" s="1"/>
      <c r="AA57" s="1"/>
      <c r="AB57" s="1"/>
      <c r="AC57" s="1"/>
      <c r="AD57" s="1"/>
      <c r="AE57" s="1"/>
      <c r="AF57" s="1"/>
      <c r="AG57" s="1"/>
      <c r="AH57" s="1"/>
      <c r="AI57" s="1"/>
    </row>
    <row r="58" spans="16:35" x14ac:dyDescent="0.3">
      <c r="P58" s="1"/>
      <c r="Q58" s="1"/>
      <c r="R58" s="1"/>
      <c r="S58" s="1"/>
      <c r="T58" s="1"/>
      <c r="U58" s="1"/>
      <c r="V58" s="1"/>
      <c r="W58" s="1"/>
      <c r="X58" s="1"/>
      <c r="Y58" s="1"/>
      <c r="Z58" s="1"/>
      <c r="AA58" s="1"/>
      <c r="AB58" s="1"/>
      <c r="AC58" s="1"/>
      <c r="AD58" s="1"/>
      <c r="AE58" s="1"/>
      <c r="AF58" s="1"/>
      <c r="AG58" s="1"/>
      <c r="AH58" s="1"/>
      <c r="AI58" s="1"/>
    </row>
    <row r="59" spans="16:35" x14ac:dyDescent="0.3">
      <c r="P59" s="1"/>
      <c r="Q59" s="1"/>
      <c r="R59" s="1"/>
      <c r="S59" s="1"/>
      <c r="T59" s="1"/>
      <c r="U59" s="1"/>
      <c r="V59" s="1"/>
      <c r="W59" s="1"/>
      <c r="X59" s="1"/>
      <c r="Y59" s="1"/>
      <c r="Z59" s="1"/>
      <c r="AA59" s="1"/>
      <c r="AB59" s="1"/>
      <c r="AC59" s="1"/>
      <c r="AD59" s="1"/>
      <c r="AE59" s="1"/>
      <c r="AF59" s="1"/>
      <c r="AG59" s="1"/>
      <c r="AH59" s="1"/>
      <c r="AI59" s="1"/>
    </row>
    <row r="60" spans="16:35" x14ac:dyDescent="0.3">
      <c r="P60" s="1"/>
      <c r="Q60" s="1"/>
      <c r="R60" s="1"/>
      <c r="S60" s="1"/>
      <c r="T60" s="1"/>
      <c r="U60" s="1"/>
      <c r="V60" s="1"/>
      <c r="W60" s="1"/>
      <c r="X60" s="1"/>
      <c r="Y60" s="1"/>
      <c r="Z60" s="1"/>
      <c r="AA60" s="1"/>
      <c r="AB60" s="1"/>
      <c r="AC60" s="1"/>
      <c r="AD60" s="1"/>
      <c r="AE60" s="1"/>
      <c r="AF60" s="1"/>
      <c r="AG60" s="1"/>
      <c r="AH60" s="1"/>
      <c r="AI60" s="1"/>
    </row>
    <row r="61" spans="16:35" x14ac:dyDescent="0.3">
      <c r="P61" s="1"/>
      <c r="Q61" s="1"/>
      <c r="R61" s="1"/>
      <c r="S61" s="1"/>
      <c r="T61" s="1"/>
      <c r="U61" s="1"/>
      <c r="V61" s="1"/>
      <c r="W61" s="1"/>
      <c r="X61" s="1"/>
      <c r="Y61" s="1"/>
      <c r="Z61" s="1"/>
      <c r="AA61" s="1"/>
      <c r="AB61" s="1"/>
      <c r="AC61" s="1"/>
      <c r="AD61" s="1"/>
      <c r="AE61" s="1"/>
      <c r="AF61" s="1"/>
      <c r="AG61" s="1"/>
      <c r="AH61" s="1"/>
      <c r="AI61" s="1"/>
    </row>
    <row r="62" spans="16:35" x14ac:dyDescent="0.3">
      <c r="P62" s="1"/>
      <c r="Q62" s="1"/>
      <c r="R62" s="1"/>
      <c r="S62" s="1"/>
      <c r="T62" s="1"/>
      <c r="U62" s="1"/>
      <c r="V62" s="1"/>
      <c r="W62" s="1"/>
      <c r="X62" s="1"/>
      <c r="Y62" s="1"/>
      <c r="Z62" s="1"/>
      <c r="AA62" s="1"/>
      <c r="AB62" s="1"/>
      <c r="AC62" s="1"/>
      <c r="AD62" s="1"/>
      <c r="AE62" s="1"/>
      <c r="AF62" s="1"/>
      <c r="AG62" s="1"/>
      <c r="AH62" s="1"/>
      <c r="AI62" s="1"/>
    </row>
    <row r="63" spans="16:35" x14ac:dyDescent="0.3">
      <c r="P63" s="1"/>
      <c r="Q63" s="1"/>
      <c r="R63" s="1"/>
      <c r="S63" s="1"/>
      <c r="T63" s="1"/>
      <c r="U63" s="1"/>
      <c r="V63" s="1"/>
      <c r="W63" s="1"/>
      <c r="X63" s="1"/>
      <c r="Y63" s="1"/>
      <c r="Z63" s="1"/>
      <c r="AA63" s="1"/>
      <c r="AB63" s="1"/>
      <c r="AC63" s="1"/>
      <c r="AD63" s="1"/>
      <c r="AE63" s="1"/>
      <c r="AF63" s="1"/>
      <c r="AG63" s="1"/>
      <c r="AH63" s="1"/>
      <c r="AI63" s="1"/>
    </row>
    <row r="64" spans="16:35" x14ac:dyDescent="0.3">
      <c r="P64" s="1"/>
      <c r="Q64" s="1"/>
      <c r="R64" s="1"/>
      <c r="S64" s="1"/>
      <c r="T64" s="1"/>
      <c r="U64" s="1"/>
      <c r="V64" s="1"/>
      <c r="W64" s="1"/>
      <c r="X64" s="1"/>
      <c r="Y64" s="1"/>
      <c r="Z64" s="1"/>
      <c r="AA64" s="1"/>
      <c r="AB64" s="1"/>
      <c r="AC64" s="1"/>
      <c r="AD64" s="1"/>
      <c r="AE64" s="1"/>
      <c r="AF64" s="1"/>
      <c r="AG64" s="1"/>
      <c r="AH64" s="1"/>
      <c r="AI64" s="1"/>
    </row>
    <row r="65" spans="16:35" x14ac:dyDescent="0.3">
      <c r="P65" s="1"/>
      <c r="Q65" s="1"/>
      <c r="R65" s="1"/>
      <c r="S65" s="1"/>
      <c r="T65" s="1"/>
      <c r="U65" s="1"/>
      <c r="V65" s="1"/>
      <c r="W65" s="1"/>
      <c r="X65" s="1"/>
      <c r="Y65" s="1"/>
      <c r="Z65" s="1"/>
      <c r="AA65" s="1"/>
      <c r="AB65" s="1"/>
      <c r="AC65" s="1"/>
      <c r="AD65" s="1"/>
      <c r="AE65" s="1"/>
      <c r="AF65" s="1"/>
      <c r="AG65" s="1"/>
      <c r="AH65" s="1"/>
      <c r="AI65" s="1"/>
    </row>
    <row r="66" spans="16:35" x14ac:dyDescent="0.3">
      <c r="P66" s="1"/>
      <c r="Q66" s="1"/>
      <c r="R66" s="1"/>
      <c r="S66" s="1"/>
      <c r="T66" s="1"/>
      <c r="U66" s="1"/>
      <c r="V66" s="1"/>
      <c r="W66" s="1"/>
      <c r="X66" s="1"/>
      <c r="Y66" s="1"/>
      <c r="Z66" s="1"/>
      <c r="AA66" s="1"/>
      <c r="AB66" s="1"/>
      <c r="AC66" s="1"/>
      <c r="AD66" s="1"/>
      <c r="AE66" s="1"/>
      <c r="AF66" s="1"/>
      <c r="AG66" s="1"/>
      <c r="AH66" s="1"/>
      <c r="AI66" s="1"/>
    </row>
    <row r="67" spans="16:35" x14ac:dyDescent="0.3">
      <c r="P67" s="1"/>
      <c r="Q67" s="1"/>
      <c r="R67" s="1"/>
      <c r="S67" s="1"/>
      <c r="T67" s="1"/>
      <c r="U67" s="1"/>
      <c r="V67" s="1"/>
      <c r="W67" s="1"/>
      <c r="X67" s="1"/>
      <c r="Y67" s="1"/>
      <c r="Z67" s="1"/>
      <c r="AA67" s="1"/>
      <c r="AB67" s="1"/>
      <c r="AC67" s="1"/>
      <c r="AD67" s="1"/>
      <c r="AE67" s="1"/>
      <c r="AF67" s="1"/>
      <c r="AG67" s="1"/>
      <c r="AH67" s="1"/>
      <c r="AI67" s="1"/>
    </row>
    <row r="68" spans="16:35" x14ac:dyDescent="0.3">
      <c r="P68" s="1"/>
      <c r="Q68" s="1"/>
      <c r="R68" s="1"/>
      <c r="S68" s="1"/>
      <c r="T68" s="1"/>
      <c r="U68" s="1"/>
      <c r="V68" s="1"/>
      <c r="W68" s="1"/>
      <c r="X68" s="1"/>
      <c r="Y68" s="1"/>
      <c r="Z68" s="1"/>
      <c r="AA68" s="1"/>
      <c r="AB68" s="1"/>
      <c r="AC68" s="1"/>
      <c r="AD68" s="1"/>
      <c r="AE68" s="1"/>
      <c r="AF68" s="1"/>
      <c r="AG68" s="1"/>
      <c r="AH68" s="1"/>
      <c r="AI68" s="1"/>
    </row>
    <row r="69" spans="16:35" x14ac:dyDescent="0.3">
      <c r="P69" s="1"/>
      <c r="Q69" s="1"/>
      <c r="R69" s="1"/>
      <c r="S69" s="1"/>
      <c r="T69" s="1"/>
      <c r="U69" s="1"/>
      <c r="V69" s="1"/>
      <c r="W69" s="1"/>
      <c r="X69" s="1"/>
      <c r="Y69" s="1"/>
      <c r="Z69" s="1"/>
      <c r="AA69" s="1"/>
      <c r="AB69" s="1"/>
      <c r="AC69" s="1"/>
      <c r="AD69" s="1"/>
      <c r="AE69" s="1"/>
      <c r="AF69" s="1"/>
      <c r="AG69" s="1"/>
      <c r="AH69" s="1"/>
      <c r="AI69" s="1"/>
    </row>
    <row r="70" spans="16:35" x14ac:dyDescent="0.3">
      <c r="P70" s="1"/>
      <c r="Q70" s="1"/>
      <c r="R70" s="1"/>
      <c r="S70" s="1"/>
      <c r="T70" s="1"/>
      <c r="U70" s="1"/>
      <c r="V70" s="1"/>
      <c r="W70" s="1"/>
      <c r="X70" s="1"/>
      <c r="Y70" s="1"/>
      <c r="Z70" s="1"/>
      <c r="AA70" s="1"/>
      <c r="AB70" s="1"/>
      <c r="AC70" s="1"/>
      <c r="AD70" s="1"/>
      <c r="AE70" s="1"/>
      <c r="AF70" s="1"/>
      <c r="AG70" s="1"/>
      <c r="AH70" s="1"/>
      <c r="AI70" s="1"/>
    </row>
    <row r="71" spans="16:35" x14ac:dyDescent="0.3">
      <c r="P71" s="1"/>
      <c r="Q71" s="1"/>
      <c r="R71" s="1"/>
      <c r="S71" s="1"/>
      <c r="T71" s="1"/>
      <c r="U71" s="1"/>
      <c r="V71" s="1"/>
      <c r="W71" s="1"/>
      <c r="X71" s="1"/>
      <c r="Y71" s="1"/>
      <c r="Z71" s="1"/>
      <c r="AA71" s="1"/>
      <c r="AB71" s="1"/>
      <c r="AC71" s="1"/>
      <c r="AD71" s="1"/>
      <c r="AE71" s="1"/>
      <c r="AF71" s="1"/>
      <c r="AG71" s="1"/>
      <c r="AH71" s="1"/>
      <c r="AI71" s="1"/>
    </row>
    <row r="72" spans="16:35" x14ac:dyDescent="0.3">
      <c r="P72" s="1"/>
      <c r="Q72" s="1"/>
      <c r="R72" s="1"/>
      <c r="S72" s="1"/>
      <c r="T72" s="1"/>
      <c r="U72" s="1"/>
      <c r="V72" s="1"/>
      <c r="W72" s="1"/>
      <c r="X72" s="1"/>
      <c r="Y72" s="1"/>
      <c r="Z72" s="1"/>
      <c r="AA72" s="1"/>
      <c r="AB72" s="1"/>
      <c r="AC72" s="1"/>
      <c r="AD72" s="1"/>
      <c r="AE72" s="1"/>
      <c r="AF72" s="1"/>
      <c r="AG72" s="1"/>
      <c r="AH72" s="1"/>
      <c r="AI72" s="1"/>
    </row>
    <row r="73" spans="16:35" x14ac:dyDescent="0.3">
      <c r="P73" s="1"/>
      <c r="Q73" s="1"/>
      <c r="R73" s="1"/>
      <c r="S73" s="1"/>
      <c r="T73" s="1"/>
      <c r="U73" s="1"/>
      <c r="V73" s="1"/>
      <c r="W73" s="1"/>
      <c r="X73" s="1"/>
      <c r="Y73" s="1"/>
      <c r="Z73" s="1"/>
      <c r="AA73" s="1"/>
      <c r="AB73" s="1"/>
      <c r="AC73" s="1"/>
      <c r="AD73" s="1"/>
      <c r="AE73" s="1"/>
      <c r="AF73" s="1"/>
      <c r="AG73" s="1"/>
      <c r="AH73" s="1"/>
      <c r="AI73" s="1"/>
    </row>
    <row r="74" spans="16:35" x14ac:dyDescent="0.3">
      <c r="P74" s="1"/>
      <c r="Q74" s="1"/>
      <c r="R74" s="1"/>
      <c r="S74" s="1"/>
      <c r="T74" s="1"/>
      <c r="U74" s="1"/>
      <c r="V74" s="1"/>
      <c r="W74" s="1"/>
      <c r="X74" s="1"/>
      <c r="Y74" s="1"/>
      <c r="Z74" s="1"/>
      <c r="AA74" s="1"/>
      <c r="AB74" s="1"/>
      <c r="AC74" s="1"/>
      <c r="AD74" s="1"/>
      <c r="AE74" s="1"/>
      <c r="AF74" s="1"/>
      <c r="AG74" s="1"/>
      <c r="AH74" s="1"/>
      <c r="AI74" s="1"/>
    </row>
    <row r="75" spans="16:35" x14ac:dyDescent="0.3">
      <c r="P75" s="1"/>
      <c r="Q75" s="1"/>
      <c r="R75" s="1"/>
      <c r="S75" s="1"/>
      <c r="T75" s="1"/>
      <c r="U75" s="1"/>
      <c r="V75" s="1"/>
      <c r="W75" s="1"/>
      <c r="X75" s="1"/>
      <c r="Y75" s="1"/>
      <c r="Z75" s="1"/>
      <c r="AA75" s="1"/>
      <c r="AB75" s="1"/>
      <c r="AC75" s="1"/>
      <c r="AD75" s="1"/>
      <c r="AE75" s="1"/>
      <c r="AF75" s="1"/>
      <c r="AG75" s="1"/>
      <c r="AH75" s="1"/>
      <c r="AI75" s="1"/>
    </row>
    <row r="76" spans="16:35" x14ac:dyDescent="0.3">
      <c r="P76" s="1"/>
      <c r="Q76" s="1"/>
      <c r="R76" s="1"/>
      <c r="S76" s="1"/>
      <c r="T76" s="1"/>
      <c r="U76" s="1"/>
      <c r="V76" s="1"/>
      <c r="W76" s="1"/>
      <c r="X76" s="1"/>
      <c r="Y76" s="1"/>
      <c r="Z76" s="1"/>
      <c r="AA76" s="1"/>
      <c r="AB76" s="1"/>
      <c r="AC76" s="1"/>
      <c r="AD76" s="1"/>
      <c r="AE76" s="1"/>
      <c r="AF76" s="1"/>
      <c r="AG76" s="1"/>
      <c r="AH76" s="1"/>
      <c r="AI76" s="1"/>
    </row>
    <row r="77" spans="16:35" x14ac:dyDescent="0.3">
      <c r="P77" s="1"/>
      <c r="Q77" s="1"/>
      <c r="R77" s="1"/>
      <c r="S77" s="1"/>
      <c r="T77" s="1"/>
      <c r="U77" s="1"/>
      <c r="V77" s="1"/>
      <c r="W77" s="1"/>
      <c r="X77" s="1"/>
      <c r="Y77" s="1"/>
      <c r="Z77" s="1"/>
      <c r="AA77" s="1"/>
      <c r="AB77" s="1"/>
      <c r="AC77" s="1"/>
      <c r="AD77" s="1"/>
      <c r="AE77" s="1"/>
      <c r="AF77" s="1"/>
      <c r="AG77" s="1"/>
      <c r="AH77" s="1"/>
      <c r="AI77" s="1"/>
    </row>
    <row r="78" spans="16:35" x14ac:dyDescent="0.3">
      <c r="P78" s="1"/>
      <c r="Q78" s="1"/>
      <c r="R78" s="1"/>
      <c r="S78" s="1"/>
      <c r="T78" s="1"/>
      <c r="U78" s="1"/>
      <c r="V78" s="1"/>
      <c r="W78" s="1"/>
      <c r="X78" s="1"/>
      <c r="Y78" s="1"/>
      <c r="Z78" s="1"/>
      <c r="AA78" s="1"/>
      <c r="AB78" s="1"/>
      <c r="AC78" s="1"/>
      <c r="AD78" s="1"/>
      <c r="AE78" s="1"/>
      <c r="AF78" s="1"/>
      <c r="AG78" s="1"/>
      <c r="AH78" s="1"/>
      <c r="AI78" s="1"/>
    </row>
    <row r="79" spans="16:35" x14ac:dyDescent="0.3">
      <c r="P79" s="1"/>
      <c r="Q79" s="1"/>
      <c r="R79" s="1"/>
      <c r="S79" s="1"/>
      <c r="T79" s="1"/>
      <c r="U79" s="1"/>
      <c r="V79" s="1"/>
      <c r="W79" s="1"/>
      <c r="X79" s="1"/>
      <c r="Y79" s="1"/>
      <c r="Z79" s="1"/>
      <c r="AA79" s="1"/>
      <c r="AB79" s="1"/>
      <c r="AC79" s="1"/>
      <c r="AD79" s="1"/>
      <c r="AE79" s="1"/>
      <c r="AF79" s="1"/>
      <c r="AG79" s="1"/>
      <c r="AH79" s="1"/>
      <c r="AI79" s="1"/>
    </row>
    <row r="80" spans="16:35" x14ac:dyDescent="0.3">
      <c r="P80" s="1"/>
      <c r="Q80" s="1"/>
      <c r="R80" s="1"/>
      <c r="S80" s="1"/>
      <c r="T80" s="1"/>
      <c r="U80" s="1"/>
      <c r="V80" s="1"/>
      <c r="W80" s="1"/>
      <c r="X80" s="1"/>
      <c r="Y80" s="1"/>
      <c r="Z80" s="1"/>
      <c r="AA80" s="1"/>
      <c r="AB80" s="1"/>
      <c r="AC80" s="1"/>
      <c r="AD80" s="1"/>
      <c r="AE80" s="1"/>
      <c r="AF80" s="1"/>
      <c r="AG80" s="1"/>
      <c r="AH80" s="1"/>
      <c r="AI80" s="1"/>
    </row>
    <row r="81" spans="16:35" x14ac:dyDescent="0.3">
      <c r="P81" s="1"/>
      <c r="Q81" s="1"/>
      <c r="R81" s="1"/>
      <c r="S81" s="1"/>
      <c r="T81" s="1"/>
      <c r="U81" s="1"/>
      <c r="V81" s="1"/>
      <c r="W81" s="1"/>
      <c r="X81" s="1"/>
      <c r="Y81" s="1"/>
      <c r="Z81" s="1"/>
      <c r="AA81" s="1"/>
      <c r="AB81" s="1"/>
      <c r="AC81" s="1"/>
      <c r="AD81" s="1"/>
      <c r="AE81" s="1"/>
      <c r="AF81" s="1"/>
      <c r="AG81" s="1"/>
      <c r="AH81" s="1"/>
      <c r="AI81" s="1"/>
    </row>
    <row r="82" spans="16:35" x14ac:dyDescent="0.3">
      <c r="P82" s="1"/>
      <c r="Q82" s="1"/>
      <c r="R82" s="1"/>
      <c r="S82" s="1"/>
      <c r="T82" s="1"/>
      <c r="U82" s="1"/>
      <c r="V82" s="1"/>
      <c r="W82" s="1"/>
      <c r="X82" s="1"/>
      <c r="Y82" s="1"/>
      <c r="Z82" s="1"/>
      <c r="AA82" s="1"/>
      <c r="AB82" s="1"/>
      <c r="AC82" s="1"/>
      <c r="AD82" s="1"/>
      <c r="AE82" s="1"/>
      <c r="AF82" s="1"/>
      <c r="AG82" s="1"/>
      <c r="AH82" s="1"/>
      <c r="AI82" s="1"/>
    </row>
    <row r="83" spans="16:35" x14ac:dyDescent="0.3">
      <c r="P83" s="1"/>
      <c r="Q83" s="1"/>
      <c r="R83" s="1"/>
      <c r="S83" s="1"/>
      <c r="T83" s="1"/>
      <c r="U83" s="1"/>
      <c r="V83" s="1"/>
      <c r="W83" s="1"/>
      <c r="X83" s="1"/>
      <c r="Y83" s="1"/>
      <c r="Z83" s="1"/>
      <c r="AA83" s="1"/>
      <c r="AB83" s="1"/>
      <c r="AC83" s="1"/>
      <c r="AD83" s="1"/>
      <c r="AE83" s="1"/>
      <c r="AF83" s="1"/>
      <c r="AG83" s="1"/>
      <c r="AH83" s="1"/>
      <c r="AI83" s="1"/>
    </row>
    <row r="84" spans="16:35" x14ac:dyDescent="0.3">
      <c r="P84" s="1"/>
      <c r="Q84" s="1"/>
      <c r="R84" s="1"/>
      <c r="S84" s="1"/>
      <c r="T84" s="1"/>
      <c r="U84" s="1"/>
      <c r="V84" s="1"/>
      <c r="W84" s="1"/>
      <c r="X84" s="1"/>
      <c r="Y84" s="1"/>
      <c r="Z84" s="1"/>
      <c r="AA84" s="1"/>
      <c r="AB84" s="1"/>
      <c r="AC84" s="1"/>
      <c r="AD84" s="1"/>
      <c r="AE84" s="1"/>
      <c r="AF84" s="1"/>
      <c r="AG84" s="1"/>
      <c r="AH84" s="1"/>
      <c r="AI84" s="1"/>
    </row>
    <row r="85" spans="16:35" x14ac:dyDescent="0.3">
      <c r="P85" s="1"/>
      <c r="Q85" s="1"/>
      <c r="R85" s="1"/>
      <c r="S85" s="1"/>
      <c r="T85" s="1"/>
      <c r="U85" s="1"/>
      <c r="V85" s="1"/>
      <c r="W85" s="1"/>
      <c r="X85" s="1"/>
      <c r="Y85" s="1"/>
      <c r="Z85" s="1"/>
      <c r="AA85" s="1"/>
      <c r="AB85" s="1"/>
      <c r="AC85" s="1"/>
      <c r="AD85" s="1"/>
      <c r="AE85" s="1"/>
      <c r="AF85" s="1"/>
      <c r="AG85" s="1"/>
      <c r="AH85" s="1"/>
      <c r="AI85" s="1"/>
    </row>
    <row r="86" spans="16:35" x14ac:dyDescent="0.3">
      <c r="P86" s="1"/>
      <c r="Q86" s="1"/>
      <c r="R86" s="1"/>
      <c r="S86" s="1"/>
      <c r="T86" s="1"/>
      <c r="U86" s="1"/>
      <c r="V86" s="1"/>
      <c r="W86" s="1"/>
      <c r="X86" s="1"/>
      <c r="Y86" s="1"/>
      <c r="Z86" s="1"/>
      <c r="AA86" s="1"/>
      <c r="AB86" s="1"/>
      <c r="AC86" s="1"/>
      <c r="AD86" s="1"/>
      <c r="AE86" s="1"/>
      <c r="AF86" s="1"/>
      <c r="AG86" s="1"/>
      <c r="AH86" s="1"/>
      <c r="AI86" s="1"/>
    </row>
    <row r="87" spans="16:35" x14ac:dyDescent="0.3">
      <c r="P87" s="1"/>
      <c r="Q87" s="1"/>
      <c r="R87" s="1"/>
      <c r="S87" s="1"/>
      <c r="T87" s="1"/>
      <c r="U87" s="1"/>
      <c r="V87" s="1"/>
      <c r="W87" s="1"/>
      <c r="X87" s="1"/>
      <c r="Y87" s="1"/>
      <c r="Z87" s="1"/>
      <c r="AA87" s="1"/>
      <c r="AB87" s="1"/>
      <c r="AC87" s="1"/>
      <c r="AD87" s="1"/>
      <c r="AE87" s="1"/>
      <c r="AF87" s="1"/>
      <c r="AG87" s="1"/>
      <c r="AH87" s="1"/>
      <c r="AI87" s="1"/>
    </row>
    <row r="88" spans="16:35" x14ac:dyDescent="0.3">
      <c r="P88" s="1"/>
      <c r="Q88" s="1"/>
      <c r="R88" s="1"/>
      <c r="S88" s="1"/>
      <c r="T88" s="1"/>
      <c r="U88" s="1"/>
      <c r="V88" s="1"/>
      <c r="W88" s="1"/>
      <c r="X88" s="1"/>
      <c r="Y88" s="1"/>
      <c r="Z88" s="1"/>
      <c r="AA88" s="1"/>
      <c r="AB88" s="1"/>
      <c r="AC88" s="1"/>
      <c r="AD88" s="1"/>
      <c r="AE88" s="1"/>
      <c r="AF88" s="1"/>
      <c r="AG88" s="1"/>
      <c r="AH88" s="1"/>
      <c r="AI88" s="1"/>
    </row>
    <row r="89" spans="16:35" x14ac:dyDescent="0.3">
      <c r="P89" s="1"/>
      <c r="Q89" s="1"/>
      <c r="R89" s="1"/>
      <c r="S89" s="1"/>
      <c r="T89" s="1"/>
      <c r="U89" s="1"/>
      <c r="V89" s="1"/>
      <c r="W89" s="1"/>
      <c r="X89" s="1"/>
      <c r="Y89" s="1"/>
      <c r="Z89" s="1"/>
      <c r="AA89" s="1"/>
      <c r="AB89" s="1"/>
      <c r="AC89" s="1"/>
      <c r="AD89" s="1"/>
      <c r="AE89" s="1"/>
      <c r="AF89" s="1"/>
      <c r="AG89" s="1"/>
      <c r="AH89" s="1"/>
      <c r="AI89" s="1"/>
    </row>
    <row r="90" spans="16:35" x14ac:dyDescent="0.3">
      <c r="P90" s="1"/>
      <c r="Q90" s="1"/>
      <c r="R90" s="1"/>
      <c r="S90" s="1"/>
      <c r="T90" s="1"/>
      <c r="U90" s="1"/>
      <c r="V90" s="1"/>
      <c r="W90" s="1"/>
      <c r="X90" s="1"/>
      <c r="Y90" s="1"/>
      <c r="Z90" s="1"/>
      <c r="AA90" s="1"/>
      <c r="AB90" s="1"/>
      <c r="AC90" s="1"/>
      <c r="AD90" s="1"/>
      <c r="AE90" s="1"/>
      <c r="AF90" s="1"/>
      <c r="AG90" s="1"/>
      <c r="AH90" s="1"/>
      <c r="AI90" s="1"/>
    </row>
    <row r="91" spans="16:35" x14ac:dyDescent="0.3">
      <c r="P91" s="1"/>
      <c r="Q91" s="1"/>
      <c r="R91" s="1"/>
      <c r="S91" s="1"/>
      <c r="T91" s="1"/>
      <c r="U91" s="1"/>
      <c r="V91" s="1"/>
      <c r="W91" s="1"/>
      <c r="X91" s="1"/>
      <c r="Y91" s="1"/>
      <c r="Z91" s="1"/>
      <c r="AA91" s="1"/>
      <c r="AB91" s="1"/>
      <c r="AC91" s="1"/>
      <c r="AD91" s="1"/>
      <c r="AE91" s="1"/>
      <c r="AF91" s="1"/>
      <c r="AG91" s="1"/>
      <c r="AH91" s="1"/>
      <c r="AI91" s="1"/>
    </row>
    <row r="92" spans="16:35" x14ac:dyDescent="0.3">
      <c r="P92" s="1"/>
      <c r="Q92" s="1"/>
      <c r="R92" s="1"/>
      <c r="S92" s="1"/>
      <c r="T92" s="1"/>
      <c r="U92" s="1"/>
      <c r="V92" s="1"/>
      <c r="W92" s="1"/>
      <c r="X92" s="1"/>
      <c r="Y92" s="1"/>
      <c r="Z92" s="1"/>
      <c r="AA92" s="1"/>
      <c r="AB92" s="1"/>
      <c r="AC92" s="1"/>
      <c r="AD92" s="1"/>
      <c r="AE92" s="1"/>
      <c r="AF92" s="1"/>
      <c r="AG92" s="1"/>
      <c r="AH92" s="1"/>
      <c r="AI92" s="1"/>
    </row>
    <row r="93" spans="16:35" x14ac:dyDescent="0.3">
      <c r="P93" s="1"/>
      <c r="Q93" s="1"/>
      <c r="R93" s="1"/>
      <c r="S93" s="1"/>
      <c r="T93" s="1"/>
      <c r="U93" s="1"/>
      <c r="V93" s="1"/>
      <c r="W93" s="1"/>
      <c r="X93" s="1"/>
      <c r="Y93" s="1"/>
      <c r="Z93" s="1"/>
      <c r="AA93" s="1"/>
      <c r="AB93" s="1"/>
      <c r="AC93" s="1"/>
      <c r="AD93" s="1"/>
      <c r="AE93" s="1"/>
      <c r="AF93" s="1"/>
      <c r="AG93" s="1"/>
      <c r="AH93" s="1"/>
      <c r="AI93" s="1"/>
    </row>
    <row r="94" spans="16:35" x14ac:dyDescent="0.3">
      <c r="P94" s="1"/>
      <c r="Q94" s="1"/>
      <c r="R94" s="1"/>
      <c r="S94" s="1"/>
      <c r="T94" s="1"/>
      <c r="U94" s="1"/>
      <c r="V94" s="1"/>
      <c r="W94" s="1"/>
      <c r="X94" s="1"/>
      <c r="Y94" s="1"/>
      <c r="Z94" s="1"/>
      <c r="AA94" s="1"/>
      <c r="AB94" s="1"/>
      <c r="AC94" s="1"/>
      <c r="AD94" s="1"/>
      <c r="AE94" s="1"/>
      <c r="AF94" s="1"/>
      <c r="AG94" s="1"/>
      <c r="AH94" s="1"/>
      <c r="AI94" s="1"/>
    </row>
    <row r="95" spans="16:35" x14ac:dyDescent="0.3">
      <c r="P95" s="1"/>
      <c r="Q95" s="1"/>
      <c r="R95" s="1"/>
      <c r="S95" s="1"/>
      <c r="T95" s="1"/>
      <c r="U95" s="1"/>
      <c r="V95" s="1"/>
      <c r="W95" s="1"/>
      <c r="X95" s="1"/>
      <c r="Y95" s="1"/>
      <c r="Z95" s="1"/>
      <c r="AA95" s="1"/>
      <c r="AB95" s="1"/>
      <c r="AC95" s="1"/>
      <c r="AD95" s="1"/>
      <c r="AE95" s="1"/>
      <c r="AF95" s="1"/>
      <c r="AG95" s="1"/>
      <c r="AH95" s="1"/>
      <c r="AI95" s="1"/>
    </row>
    <row r="96" spans="16:35" x14ac:dyDescent="0.3">
      <c r="P96" s="1"/>
      <c r="Q96" s="1"/>
      <c r="R96" s="1"/>
      <c r="S96" s="1"/>
      <c r="T96" s="1"/>
      <c r="U96" s="1"/>
      <c r="V96" s="1"/>
      <c r="W96" s="1"/>
      <c r="X96" s="1"/>
      <c r="Y96" s="1"/>
      <c r="Z96" s="1"/>
      <c r="AA96" s="1"/>
      <c r="AB96" s="1"/>
      <c r="AC96" s="1"/>
      <c r="AD96" s="1"/>
      <c r="AE96" s="1"/>
      <c r="AF96" s="1"/>
      <c r="AG96" s="1"/>
      <c r="AH96" s="1"/>
      <c r="AI96" s="1"/>
    </row>
    <row r="97" spans="16:35" x14ac:dyDescent="0.3">
      <c r="P97" s="1"/>
      <c r="Q97" s="1"/>
      <c r="R97" s="1"/>
      <c r="S97" s="1"/>
      <c r="T97" s="1"/>
      <c r="U97" s="1"/>
      <c r="V97" s="1"/>
      <c r="W97" s="1"/>
      <c r="X97" s="1"/>
      <c r="Y97" s="1"/>
      <c r="Z97" s="1"/>
      <c r="AA97" s="1"/>
      <c r="AB97" s="1"/>
      <c r="AC97" s="1"/>
      <c r="AD97" s="1"/>
      <c r="AE97" s="1"/>
      <c r="AF97" s="1"/>
      <c r="AG97" s="1"/>
      <c r="AH97" s="1"/>
      <c r="AI97" s="1"/>
    </row>
    <row r="98" spans="16:35" x14ac:dyDescent="0.3">
      <c r="P98" s="1"/>
      <c r="Q98" s="1"/>
      <c r="R98" s="1"/>
      <c r="S98" s="1"/>
      <c r="T98" s="1"/>
      <c r="U98" s="1"/>
      <c r="V98" s="1"/>
      <c r="W98" s="1"/>
      <c r="X98" s="1"/>
      <c r="Y98" s="1"/>
      <c r="Z98" s="1"/>
      <c r="AA98" s="1"/>
      <c r="AB98" s="1"/>
      <c r="AC98" s="1"/>
      <c r="AD98" s="1"/>
      <c r="AE98" s="1"/>
      <c r="AF98" s="1"/>
      <c r="AG98" s="1"/>
      <c r="AH98" s="1"/>
      <c r="AI98" s="1"/>
    </row>
    <row r="99" spans="16:35" x14ac:dyDescent="0.3">
      <c r="P99" s="1"/>
      <c r="Q99" s="1"/>
      <c r="R99" s="1"/>
      <c r="S99" s="1"/>
      <c r="T99" s="1"/>
      <c r="U99" s="1"/>
      <c r="V99" s="1"/>
      <c r="W99" s="1"/>
      <c r="X99" s="1"/>
      <c r="Y99" s="1"/>
      <c r="Z99" s="1"/>
      <c r="AA99" s="1"/>
      <c r="AB99" s="1"/>
      <c r="AC99" s="1"/>
      <c r="AD99" s="1"/>
      <c r="AE99" s="1"/>
      <c r="AF99" s="1"/>
      <c r="AG99" s="1"/>
      <c r="AH99" s="1"/>
      <c r="AI99" s="1"/>
    </row>
    <row r="100" spans="16:35" x14ac:dyDescent="0.3">
      <c r="P100" s="1"/>
      <c r="Q100" s="1"/>
      <c r="R100" s="1"/>
      <c r="S100" s="1"/>
      <c r="T100" s="1"/>
      <c r="U100" s="1"/>
      <c r="V100" s="1"/>
      <c r="W100" s="1"/>
      <c r="X100" s="1"/>
      <c r="Y100" s="1"/>
      <c r="Z100" s="1"/>
      <c r="AA100" s="1"/>
      <c r="AB100" s="1"/>
      <c r="AC100" s="1"/>
      <c r="AD100" s="1"/>
      <c r="AE100" s="1"/>
      <c r="AF100" s="1"/>
      <c r="AG100" s="1"/>
      <c r="AH100" s="1"/>
      <c r="AI100" s="1"/>
    </row>
    <row r="101" spans="16:35" x14ac:dyDescent="0.3">
      <c r="P101" s="1"/>
      <c r="Q101" s="1"/>
      <c r="R101" s="1"/>
      <c r="S101" s="1"/>
      <c r="T101" s="1"/>
      <c r="U101" s="1"/>
      <c r="V101" s="1"/>
      <c r="W101" s="1"/>
      <c r="X101" s="1"/>
      <c r="Y101" s="1"/>
      <c r="Z101" s="1"/>
      <c r="AA101" s="1"/>
      <c r="AB101" s="1"/>
      <c r="AC101" s="1"/>
      <c r="AD101" s="1"/>
      <c r="AE101" s="1"/>
      <c r="AF101" s="1"/>
      <c r="AG101" s="1"/>
      <c r="AH101" s="1"/>
      <c r="AI101" s="1"/>
    </row>
    <row r="102" spans="16:35" x14ac:dyDescent="0.3">
      <c r="P102" s="1"/>
      <c r="Q102" s="1"/>
      <c r="R102" s="1"/>
      <c r="S102" s="1"/>
      <c r="T102" s="1"/>
      <c r="U102" s="1"/>
      <c r="V102" s="1"/>
      <c r="W102" s="1"/>
      <c r="X102" s="1"/>
      <c r="Y102" s="1"/>
      <c r="Z102" s="1"/>
      <c r="AA102" s="1"/>
      <c r="AB102" s="1"/>
      <c r="AC102" s="1"/>
      <c r="AD102" s="1"/>
      <c r="AE102" s="1"/>
      <c r="AF102" s="1"/>
      <c r="AG102" s="1"/>
      <c r="AH102" s="1"/>
      <c r="AI102" s="1"/>
    </row>
    <row r="103" spans="16:35" x14ac:dyDescent="0.3">
      <c r="P103" s="1"/>
      <c r="Q103" s="1"/>
      <c r="R103" s="1"/>
      <c r="S103" s="1"/>
      <c r="T103" s="1"/>
      <c r="U103" s="1"/>
      <c r="V103" s="1"/>
      <c r="W103" s="1"/>
      <c r="X103" s="1"/>
      <c r="Y103" s="1"/>
      <c r="Z103" s="1"/>
      <c r="AA103" s="1"/>
      <c r="AB103" s="1"/>
      <c r="AC103" s="1"/>
      <c r="AD103" s="1"/>
      <c r="AE103" s="1"/>
      <c r="AF103" s="1"/>
      <c r="AG103" s="1"/>
      <c r="AH103" s="1"/>
      <c r="AI103" s="1"/>
    </row>
    <row r="104" spans="16:35" x14ac:dyDescent="0.3">
      <c r="P104" s="1"/>
      <c r="Q104" s="1"/>
      <c r="R104" s="1"/>
      <c r="S104" s="1"/>
      <c r="T104" s="1"/>
      <c r="U104" s="1"/>
      <c r="V104" s="1"/>
      <c r="W104" s="1"/>
      <c r="X104" s="1"/>
      <c r="Y104" s="1"/>
      <c r="Z104" s="1"/>
      <c r="AA104" s="1"/>
      <c r="AB104" s="1"/>
      <c r="AC104" s="1"/>
      <c r="AD104" s="1"/>
      <c r="AE104" s="1"/>
      <c r="AF104" s="1"/>
      <c r="AG104" s="1"/>
      <c r="AH104" s="1"/>
      <c r="AI104" s="1"/>
    </row>
    <row r="105" spans="16:35" x14ac:dyDescent="0.3">
      <c r="P105" s="1"/>
      <c r="Q105" s="1"/>
      <c r="R105" s="1"/>
      <c r="S105" s="1"/>
      <c r="T105" s="1"/>
      <c r="U105" s="1"/>
      <c r="V105" s="1"/>
      <c r="W105" s="1"/>
      <c r="X105" s="1"/>
      <c r="Y105" s="1"/>
      <c r="Z105" s="1"/>
      <c r="AA105" s="1"/>
      <c r="AB105" s="1"/>
      <c r="AC105" s="1"/>
      <c r="AD105" s="1"/>
      <c r="AE105" s="1"/>
      <c r="AF105" s="1"/>
      <c r="AG105" s="1"/>
      <c r="AH105" s="1"/>
      <c r="AI105" s="1"/>
    </row>
    <row r="106" spans="16:35" x14ac:dyDescent="0.3">
      <c r="P106" s="1"/>
      <c r="Q106" s="1"/>
      <c r="R106" s="1"/>
      <c r="S106" s="1"/>
      <c r="T106" s="1"/>
      <c r="U106" s="1"/>
      <c r="V106" s="1"/>
      <c r="W106" s="1"/>
      <c r="X106" s="1"/>
      <c r="Y106" s="1"/>
      <c r="Z106" s="1"/>
      <c r="AA106" s="1"/>
      <c r="AB106" s="1"/>
      <c r="AC106" s="1"/>
      <c r="AD106" s="1"/>
      <c r="AE106" s="1"/>
      <c r="AF106" s="1"/>
      <c r="AG106" s="1"/>
      <c r="AH106" s="1"/>
      <c r="AI106" s="1"/>
    </row>
    <row r="107" spans="16:35" x14ac:dyDescent="0.3">
      <c r="P107" s="1"/>
      <c r="Q107" s="1"/>
      <c r="R107" s="1"/>
      <c r="S107" s="1"/>
      <c r="T107" s="1"/>
      <c r="U107" s="1"/>
      <c r="V107" s="1"/>
      <c r="W107" s="1"/>
      <c r="X107" s="1"/>
      <c r="Y107" s="1"/>
      <c r="Z107" s="1"/>
      <c r="AA107" s="1"/>
      <c r="AB107" s="1"/>
      <c r="AC107" s="1"/>
      <c r="AD107" s="1"/>
      <c r="AE107" s="1"/>
      <c r="AF107" s="1"/>
      <c r="AG107" s="1"/>
      <c r="AH107" s="1"/>
      <c r="AI107" s="1"/>
    </row>
    <row r="108" spans="16:35" x14ac:dyDescent="0.3">
      <c r="P108" s="1"/>
      <c r="Q108" s="1"/>
      <c r="R108" s="1"/>
      <c r="S108" s="1"/>
      <c r="T108" s="1"/>
      <c r="U108" s="1"/>
      <c r="V108" s="1"/>
      <c r="W108" s="1"/>
      <c r="X108" s="1"/>
      <c r="Y108" s="1"/>
      <c r="Z108" s="1"/>
      <c r="AA108" s="1"/>
      <c r="AB108" s="1"/>
      <c r="AC108" s="1"/>
      <c r="AD108" s="1"/>
      <c r="AE108" s="1"/>
      <c r="AF108" s="1"/>
      <c r="AG108" s="1"/>
      <c r="AH108" s="1"/>
      <c r="AI108" s="1"/>
    </row>
    <row r="109" spans="16:35" x14ac:dyDescent="0.3">
      <c r="P109" s="1"/>
      <c r="Q109" s="1"/>
      <c r="R109" s="1"/>
      <c r="S109" s="1"/>
      <c r="T109" s="1"/>
      <c r="U109" s="1"/>
      <c r="V109" s="1"/>
      <c r="W109" s="1"/>
      <c r="X109" s="1"/>
      <c r="Y109" s="1"/>
      <c r="Z109" s="1"/>
      <c r="AA109" s="1"/>
      <c r="AB109" s="1"/>
      <c r="AC109" s="1"/>
      <c r="AD109" s="1"/>
      <c r="AE109" s="1"/>
      <c r="AF109" s="1"/>
      <c r="AG109" s="1"/>
      <c r="AH109" s="1"/>
      <c r="AI109" s="1"/>
    </row>
    <row r="110" spans="16:35" x14ac:dyDescent="0.3">
      <c r="P110" s="1"/>
      <c r="Q110" s="1"/>
      <c r="R110" s="1"/>
      <c r="S110" s="1"/>
      <c r="T110" s="1"/>
      <c r="U110" s="1"/>
      <c r="V110" s="1"/>
      <c r="W110" s="1"/>
      <c r="X110" s="1"/>
      <c r="Y110" s="1"/>
      <c r="Z110" s="1"/>
      <c r="AA110" s="1"/>
      <c r="AB110" s="1"/>
      <c r="AC110" s="1"/>
      <c r="AD110" s="1"/>
      <c r="AE110" s="1"/>
      <c r="AF110" s="1"/>
      <c r="AG110" s="1"/>
      <c r="AH110" s="1"/>
      <c r="AI110" s="1"/>
    </row>
    <row r="111" spans="16:35" x14ac:dyDescent="0.3">
      <c r="P111" s="1"/>
      <c r="Q111" s="1"/>
      <c r="R111" s="1"/>
      <c r="S111" s="1"/>
      <c r="T111" s="1"/>
      <c r="U111" s="1"/>
      <c r="V111" s="1"/>
      <c r="W111" s="1"/>
      <c r="X111" s="1"/>
      <c r="Y111" s="1"/>
      <c r="Z111" s="1"/>
      <c r="AA111" s="1"/>
      <c r="AB111" s="1"/>
      <c r="AC111" s="1"/>
      <c r="AD111" s="1"/>
      <c r="AE111" s="1"/>
      <c r="AF111" s="1"/>
      <c r="AG111" s="1"/>
      <c r="AH111" s="1"/>
      <c r="AI111" s="1"/>
    </row>
    <row r="112" spans="16:35" x14ac:dyDescent="0.3">
      <c r="P112" s="1"/>
      <c r="Q112" s="1"/>
      <c r="R112" s="1"/>
      <c r="S112" s="1"/>
      <c r="T112" s="1"/>
      <c r="U112" s="1"/>
      <c r="V112" s="1"/>
      <c r="W112" s="1"/>
      <c r="X112" s="1"/>
      <c r="Y112" s="1"/>
      <c r="Z112" s="1"/>
      <c r="AA112" s="1"/>
      <c r="AB112" s="1"/>
      <c r="AC112" s="1"/>
      <c r="AD112" s="1"/>
      <c r="AE112" s="1"/>
      <c r="AF112" s="1"/>
      <c r="AG112" s="1"/>
      <c r="AH112" s="1"/>
      <c r="AI112" s="1"/>
    </row>
    <row r="113" spans="16:35" x14ac:dyDescent="0.3">
      <c r="P113" s="1"/>
      <c r="Q113" s="1"/>
      <c r="R113" s="1"/>
      <c r="S113" s="1"/>
      <c r="T113" s="1"/>
      <c r="U113" s="1"/>
      <c r="V113" s="1"/>
      <c r="W113" s="1"/>
      <c r="X113" s="1"/>
      <c r="Y113" s="1"/>
      <c r="Z113" s="1"/>
      <c r="AA113" s="1"/>
      <c r="AB113" s="1"/>
      <c r="AC113" s="1"/>
      <c r="AD113" s="1"/>
      <c r="AE113" s="1"/>
      <c r="AF113" s="1"/>
      <c r="AG113" s="1"/>
      <c r="AH113" s="1"/>
      <c r="AI113" s="1"/>
    </row>
    <row r="114" spans="16:35" x14ac:dyDescent="0.3">
      <c r="P114" s="1"/>
      <c r="Q114" s="1"/>
      <c r="R114" s="1"/>
      <c r="S114" s="1"/>
      <c r="T114" s="1"/>
      <c r="U114" s="1"/>
      <c r="V114" s="1"/>
      <c r="W114" s="1"/>
      <c r="X114" s="1"/>
      <c r="Y114" s="1"/>
      <c r="Z114" s="1"/>
      <c r="AA114" s="1"/>
      <c r="AB114" s="1"/>
      <c r="AC114" s="1"/>
      <c r="AD114" s="1"/>
      <c r="AE114" s="1"/>
      <c r="AF114" s="1"/>
      <c r="AG114" s="1"/>
      <c r="AH114" s="1"/>
      <c r="AI114" s="1"/>
    </row>
    <row r="115" spans="16:35" x14ac:dyDescent="0.3">
      <c r="P115" s="1"/>
      <c r="Q115" s="1"/>
      <c r="R115" s="1"/>
      <c r="S115" s="1"/>
      <c r="T115" s="1"/>
      <c r="U115" s="1"/>
      <c r="V115" s="1"/>
      <c r="W115" s="1"/>
      <c r="X115" s="1"/>
      <c r="Y115" s="1"/>
      <c r="Z115" s="1"/>
      <c r="AA115" s="1"/>
      <c r="AB115" s="1"/>
      <c r="AC115" s="1"/>
      <c r="AD115" s="1"/>
      <c r="AE115" s="1"/>
      <c r="AF115" s="1"/>
      <c r="AG115" s="1"/>
      <c r="AH115" s="1"/>
      <c r="AI115" s="1"/>
    </row>
    <row r="116" spans="16:35" x14ac:dyDescent="0.3">
      <c r="P116" s="1"/>
      <c r="Q116" s="1"/>
      <c r="R116" s="1"/>
      <c r="S116" s="1"/>
      <c r="T116" s="1"/>
      <c r="U116" s="1"/>
      <c r="V116" s="1"/>
      <c r="W116" s="1"/>
      <c r="X116" s="1"/>
      <c r="Y116" s="1"/>
      <c r="Z116" s="1"/>
      <c r="AA116" s="1"/>
      <c r="AB116" s="1"/>
      <c r="AC116" s="1"/>
      <c r="AD116" s="1"/>
      <c r="AE116" s="1"/>
      <c r="AF116" s="1"/>
      <c r="AG116" s="1"/>
      <c r="AH116" s="1"/>
      <c r="AI116" s="1"/>
    </row>
    <row r="117" spans="16:35" x14ac:dyDescent="0.3">
      <c r="P117" s="1"/>
      <c r="Q117" s="1"/>
      <c r="R117" s="1"/>
      <c r="S117" s="1"/>
      <c r="T117" s="1"/>
      <c r="U117" s="1"/>
      <c r="V117" s="1"/>
      <c r="W117" s="1"/>
      <c r="X117" s="1"/>
      <c r="Y117" s="1"/>
      <c r="Z117" s="1"/>
      <c r="AA117" s="1"/>
      <c r="AB117" s="1"/>
      <c r="AC117" s="1"/>
      <c r="AD117" s="1"/>
      <c r="AE117" s="1"/>
      <c r="AF117" s="1"/>
      <c r="AG117" s="1"/>
      <c r="AH117" s="1"/>
      <c r="AI117" s="1"/>
    </row>
    <row r="118" spans="16:35" x14ac:dyDescent="0.3">
      <c r="P118" s="1"/>
      <c r="Q118" s="1"/>
      <c r="R118" s="1"/>
      <c r="S118" s="1"/>
      <c r="T118" s="1"/>
      <c r="U118" s="1"/>
      <c r="V118" s="1"/>
      <c r="W118" s="1"/>
      <c r="X118" s="1"/>
      <c r="Y118" s="1"/>
      <c r="Z118" s="1"/>
      <c r="AA118" s="1"/>
      <c r="AB118" s="1"/>
      <c r="AC118" s="1"/>
      <c r="AD118" s="1"/>
      <c r="AE118" s="1"/>
      <c r="AF118" s="1"/>
      <c r="AG118" s="1"/>
      <c r="AH118" s="1"/>
      <c r="AI118" s="1"/>
    </row>
    <row r="119" spans="16:35" x14ac:dyDescent="0.3">
      <c r="P119" s="1"/>
      <c r="Q119" s="1"/>
      <c r="R119" s="1"/>
      <c r="S119" s="1"/>
      <c r="T119" s="1"/>
      <c r="U119" s="1"/>
      <c r="V119" s="1"/>
      <c r="W119" s="1"/>
      <c r="X119" s="1"/>
      <c r="Y119" s="1"/>
      <c r="Z119" s="1"/>
      <c r="AA119" s="1"/>
      <c r="AB119" s="1"/>
      <c r="AC119" s="1"/>
      <c r="AD119" s="1"/>
      <c r="AE119" s="1"/>
      <c r="AF119" s="1"/>
      <c r="AG119" s="1"/>
      <c r="AH119" s="1"/>
      <c r="AI119" s="1"/>
    </row>
    <row r="120" spans="16:35" x14ac:dyDescent="0.3">
      <c r="P120" s="1"/>
      <c r="Q120" s="1"/>
      <c r="R120" s="1"/>
      <c r="S120" s="1"/>
      <c r="T120" s="1"/>
      <c r="U120" s="1"/>
      <c r="V120" s="1"/>
      <c r="W120" s="1"/>
      <c r="X120" s="1"/>
      <c r="Y120" s="1"/>
      <c r="Z120" s="1"/>
      <c r="AA120" s="1"/>
      <c r="AB120" s="1"/>
      <c r="AC120" s="1"/>
      <c r="AD120" s="1"/>
      <c r="AE120" s="1"/>
      <c r="AF120" s="1"/>
      <c r="AG120" s="1"/>
      <c r="AH120" s="1"/>
      <c r="AI120" s="1"/>
    </row>
    <row r="121" spans="16:35" x14ac:dyDescent="0.3">
      <c r="P121" s="1"/>
      <c r="Q121" s="1"/>
      <c r="R121" s="1"/>
      <c r="S121" s="1"/>
      <c r="T121" s="1"/>
      <c r="U121" s="1"/>
      <c r="V121" s="1"/>
      <c r="W121" s="1"/>
      <c r="X121" s="1"/>
      <c r="Y121" s="1"/>
      <c r="Z121" s="1"/>
      <c r="AA121" s="1"/>
      <c r="AB121" s="1"/>
      <c r="AC121" s="1"/>
      <c r="AD121" s="1"/>
      <c r="AE121" s="1"/>
      <c r="AF121" s="1"/>
      <c r="AG121" s="1"/>
      <c r="AH121" s="1"/>
      <c r="AI121" s="1"/>
    </row>
    <row r="122" spans="16:35" x14ac:dyDescent="0.3">
      <c r="P122" s="1"/>
      <c r="Q122" s="1"/>
      <c r="R122" s="1"/>
      <c r="S122" s="1"/>
      <c r="T122" s="1"/>
      <c r="U122" s="1"/>
      <c r="V122" s="1"/>
      <c r="W122" s="1"/>
      <c r="X122" s="1"/>
      <c r="Y122" s="1"/>
      <c r="Z122" s="1"/>
      <c r="AA122" s="1"/>
      <c r="AB122" s="1"/>
      <c r="AC122" s="1"/>
      <c r="AD122" s="1"/>
      <c r="AE122" s="1"/>
      <c r="AF122" s="1"/>
      <c r="AG122" s="1"/>
      <c r="AH122" s="1"/>
      <c r="AI122" s="1"/>
    </row>
    <row r="123" spans="16:35" x14ac:dyDescent="0.3">
      <c r="P123" s="1"/>
      <c r="Q123" s="1"/>
      <c r="R123" s="1"/>
      <c r="S123" s="1"/>
      <c r="T123" s="1"/>
      <c r="U123" s="1"/>
      <c r="V123" s="1"/>
      <c r="W123" s="1"/>
      <c r="X123" s="1"/>
      <c r="Y123" s="1"/>
      <c r="Z123" s="1"/>
      <c r="AA123" s="1"/>
      <c r="AB123" s="1"/>
      <c r="AC123" s="1"/>
      <c r="AD123" s="1"/>
      <c r="AE123" s="1"/>
      <c r="AF123" s="1"/>
      <c r="AG123" s="1"/>
      <c r="AH123" s="1"/>
      <c r="AI123" s="1"/>
    </row>
    <row r="124" spans="16:35" x14ac:dyDescent="0.3">
      <c r="P124" s="1"/>
      <c r="Q124" s="1"/>
      <c r="R124" s="1"/>
      <c r="S124" s="1"/>
      <c r="T124" s="1"/>
      <c r="U124" s="1"/>
      <c r="V124" s="1"/>
      <c r="W124" s="1"/>
      <c r="X124" s="1"/>
      <c r="Y124" s="1"/>
      <c r="Z124" s="1"/>
      <c r="AA124" s="1"/>
      <c r="AB124" s="1"/>
      <c r="AC124" s="1"/>
      <c r="AD124" s="1"/>
      <c r="AE124" s="1"/>
      <c r="AF124" s="1"/>
      <c r="AG124" s="1"/>
      <c r="AH124" s="1"/>
      <c r="AI124" s="1"/>
    </row>
    <row r="125" spans="16:35" x14ac:dyDescent="0.3">
      <c r="P125" s="1"/>
      <c r="Q125" s="1"/>
      <c r="R125" s="1"/>
      <c r="S125" s="1"/>
      <c r="T125" s="1"/>
      <c r="U125" s="1"/>
      <c r="V125" s="1"/>
      <c r="W125" s="1"/>
      <c r="X125" s="1"/>
      <c r="Y125" s="1"/>
      <c r="Z125" s="1"/>
      <c r="AA125" s="1"/>
      <c r="AB125" s="1"/>
      <c r="AC125" s="1"/>
      <c r="AD125" s="1"/>
      <c r="AE125" s="1"/>
      <c r="AF125" s="1"/>
      <c r="AG125" s="1"/>
      <c r="AH125" s="1"/>
      <c r="AI125" s="1"/>
    </row>
    <row r="126" spans="16:35" x14ac:dyDescent="0.3">
      <c r="P126" s="1"/>
      <c r="Q126" s="1"/>
      <c r="R126" s="1"/>
      <c r="S126" s="1"/>
      <c r="T126" s="1"/>
      <c r="U126" s="1"/>
      <c r="V126" s="1"/>
      <c r="W126" s="1"/>
      <c r="X126" s="1"/>
      <c r="Y126" s="1"/>
      <c r="Z126" s="1"/>
      <c r="AA126" s="1"/>
      <c r="AB126" s="1"/>
      <c r="AC126" s="1"/>
      <c r="AD126" s="1"/>
      <c r="AE126" s="1"/>
      <c r="AF126" s="1"/>
      <c r="AG126" s="1"/>
      <c r="AH126" s="1"/>
      <c r="AI126" s="1"/>
    </row>
    <row r="127" spans="16:35" x14ac:dyDescent="0.3">
      <c r="P127" s="1"/>
      <c r="Q127" s="1"/>
      <c r="R127" s="1"/>
      <c r="S127" s="1"/>
      <c r="T127" s="1"/>
      <c r="U127" s="1"/>
      <c r="V127" s="1"/>
      <c r="W127" s="1"/>
      <c r="X127" s="1"/>
      <c r="Y127" s="1"/>
      <c r="Z127" s="1"/>
      <c r="AA127" s="1"/>
      <c r="AB127" s="1"/>
      <c r="AC127" s="1"/>
      <c r="AD127" s="1"/>
      <c r="AE127" s="1"/>
      <c r="AF127" s="1"/>
      <c r="AG127" s="1"/>
      <c r="AH127" s="1"/>
      <c r="AI127" s="1"/>
    </row>
    <row r="128" spans="16:35" x14ac:dyDescent="0.3">
      <c r="P128" s="1"/>
      <c r="Q128" s="1"/>
      <c r="R128" s="1"/>
      <c r="S128" s="1"/>
      <c r="T128" s="1"/>
      <c r="U128" s="1"/>
      <c r="V128" s="1"/>
      <c r="W128" s="1"/>
      <c r="X128" s="1"/>
      <c r="Y128" s="1"/>
      <c r="Z128" s="1"/>
      <c r="AA128" s="1"/>
      <c r="AB128" s="1"/>
      <c r="AC128" s="1"/>
      <c r="AD128" s="1"/>
      <c r="AE128" s="1"/>
      <c r="AF128" s="1"/>
      <c r="AG128" s="1"/>
      <c r="AH128" s="1"/>
      <c r="AI128" s="1"/>
    </row>
    <row r="129" spans="16:35" x14ac:dyDescent="0.3">
      <c r="P129" s="1"/>
      <c r="Q129" s="1"/>
      <c r="R129" s="1"/>
      <c r="S129" s="1"/>
      <c r="T129" s="1"/>
      <c r="U129" s="1"/>
      <c r="V129" s="1"/>
      <c r="W129" s="1"/>
      <c r="X129" s="1"/>
      <c r="Y129" s="1"/>
      <c r="Z129" s="1"/>
      <c r="AA129" s="1"/>
      <c r="AB129" s="1"/>
      <c r="AC129" s="1"/>
      <c r="AD129" s="1"/>
      <c r="AE129" s="1"/>
      <c r="AF129" s="1"/>
      <c r="AG129" s="1"/>
      <c r="AH129" s="1"/>
      <c r="AI129" s="1"/>
    </row>
    <row r="130" spans="16:35" x14ac:dyDescent="0.3">
      <c r="P130" s="1"/>
      <c r="Q130" s="1"/>
      <c r="R130" s="1"/>
      <c r="S130" s="1"/>
      <c r="T130" s="1"/>
      <c r="U130" s="1"/>
      <c r="V130" s="1"/>
      <c r="W130" s="1"/>
      <c r="X130" s="1"/>
      <c r="Y130" s="1"/>
      <c r="Z130" s="1"/>
      <c r="AA130" s="1"/>
      <c r="AB130" s="1"/>
      <c r="AC130" s="1"/>
      <c r="AD130" s="1"/>
      <c r="AE130" s="1"/>
      <c r="AF130" s="1"/>
      <c r="AG130" s="1"/>
      <c r="AH130" s="1"/>
      <c r="AI130" s="1"/>
    </row>
    <row r="131" spans="16:35" x14ac:dyDescent="0.3">
      <c r="P131" s="1"/>
      <c r="Q131" s="1"/>
      <c r="R131" s="1"/>
      <c r="S131" s="1"/>
      <c r="T131" s="1"/>
      <c r="U131" s="1"/>
      <c r="V131" s="1"/>
      <c r="W131" s="1"/>
      <c r="X131" s="1"/>
      <c r="Y131" s="1"/>
      <c r="Z131" s="1"/>
      <c r="AA131" s="1"/>
      <c r="AB131" s="1"/>
      <c r="AC131" s="1"/>
      <c r="AD131" s="1"/>
      <c r="AE131" s="1"/>
      <c r="AF131" s="1"/>
      <c r="AG131" s="1"/>
      <c r="AH131" s="1"/>
      <c r="AI131" s="1"/>
    </row>
    <row r="132" spans="16:35" x14ac:dyDescent="0.3">
      <c r="P132" s="1"/>
      <c r="Q132" s="1"/>
      <c r="R132" s="1"/>
      <c r="S132" s="1"/>
      <c r="T132" s="1"/>
      <c r="U132" s="1"/>
      <c r="V132" s="1"/>
      <c r="W132" s="1"/>
      <c r="X132" s="1"/>
      <c r="Y132" s="1"/>
      <c r="Z132" s="1"/>
      <c r="AA132" s="1"/>
      <c r="AB132" s="1"/>
      <c r="AC132" s="1"/>
      <c r="AD132" s="1"/>
      <c r="AE132" s="1"/>
      <c r="AF132" s="1"/>
      <c r="AG132" s="1"/>
      <c r="AH132" s="1"/>
      <c r="AI132" s="1"/>
    </row>
    <row r="133" spans="16:35" x14ac:dyDescent="0.3">
      <c r="P133" s="1"/>
      <c r="Q133" s="1"/>
      <c r="R133" s="1"/>
      <c r="S133" s="1"/>
      <c r="T133" s="1"/>
      <c r="U133" s="1"/>
      <c r="V133" s="1"/>
      <c r="W133" s="1"/>
      <c r="X133" s="1"/>
      <c r="Y133" s="1"/>
      <c r="Z133" s="1"/>
      <c r="AA133" s="1"/>
      <c r="AB133" s="1"/>
      <c r="AC133" s="1"/>
      <c r="AD133" s="1"/>
      <c r="AE133" s="1"/>
      <c r="AF133" s="1"/>
      <c r="AG133" s="1"/>
      <c r="AH133" s="1"/>
      <c r="AI133" s="1"/>
    </row>
    <row r="134" spans="16:35" x14ac:dyDescent="0.3">
      <c r="P134" s="1"/>
      <c r="Q134" s="1"/>
      <c r="R134" s="1"/>
      <c r="S134" s="1"/>
      <c r="T134" s="1"/>
      <c r="U134" s="1"/>
      <c r="V134" s="1"/>
      <c r="W134" s="1"/>
      <c r="X134" s="1"/>
      <c r="Y134" s="1"/>
      <c r="Z134" s="1"/>
      <c r="AA134" s="1"/>
      <c r="AB134" s="1"/>
      <c r="AC134" s="1"/>
      <c r="AD134" s="1"/>
      <c r="AE134" s="1"/>
      <c r="AF134" s="1"/>
      <c r="AG134" s="1"/>
      <c r="AH134" s="1"/>
      <c r="AI134" s="1"/>
    </row>
    <row r="135" spans="16:35" x14ac:dyDescent="0.3">
      <c r="P135" s="1"/>
      <c r="Q135" s="1"/>
      <c r="R135" s="1"/>
      <c r="S135" s="1"/>
      <c r="T135" s="1"/>
      <c r="U135" s="1"/>
      <c r="V135" s="1"/>
      <c r="W135" s="1"/>
      <c r="X135" s="1"/>
      <c r="Y135" s="1"/>
      <c r="Z135" s="1"/>
      <c r="AA135" s="1"/>
      <c r="AB135" s="1"/>
      <c r="AC135" s="1"/>
      <c r="AD135" s="1"/>
      <c r="AE135" s="1"/>
      <c r="AF135" s="1"/>
      <c r="AG135" s="1"/>
      <c r="AH135" s="1"/>
      <c r="AI135" s="1"/>
    </row>
    <row r="136" spans="16:35" x14ac:dyDescent="0.3">
      <c r="P136" s="1"/>
      <c r="Q136" s="1"/>
      <c r="R136" s="1"/>
      <c r="S136" s="1"/>
      <c r="T136" s="1"/>
      <c r="U136" s="1"/>
      <c r="V136" s="1"/>
      <c r="W136" s="1"/>
      <c r="X136" s="1"/>
      <c r="Y136" s="1"/>
      <c r="Z136" s="1"/>
      <c r="AA136" s="1"/>
      <c r="AB136" s="1"/>
      <c r="AC136" s="1"/>
      <c r="AD136" s="1"/>
      <c r="AE136" s="1"/>
      <c r="AF136" s="1"/>
      <c r="AG136" s="1"/>
      <c r="AH136" s="1"/>
      <c r="AI136" s="1"/>
    </row>
    <row r="137" spans="16:35" x14ac:dyDescent="0.3">
      <c r="P137" s="1"/>
      <c r="Q137" s="1"/>
      <c r="R137" s="1"/>
      <c r="S137" s="1"/>
      <c r="T137" s="1"/>
      <c r="U137" s="1"/>
      <c r="V137" s="1"/>
      <c r="W137" s="1"/>
      <c r="X137" s="1"/>
      <c r="Y137" s="1"/>
      <c r="Z137" s="1"/>
      <c r="AA137" s="1"/>
      <c r="AB137" s="1"/>
      <c r="AC137" s="1"/>
      <c r="AD137" s="1"/>
      <c r="AE137" s="1"/>
      <c r="AF137" s="1"/>
      <c r="AG137" s="1"/>
      <c r="AH137" s="1"/>
      <c r="AI137" s="1"/>
    </row>
    <row r="138" spans="16:35" x14ac:dyDescent="0.3">
      <c r="P138" s="1"/>
      <c r="Q138" s="1"/>
      <c r="R138" s="1"/>
      <c r="S138" s="1"/>
      <c r="T138" s="1"/>
      <c r="U138" s="1"/>
      <c r="V138" s="1"/>
      <c r="W138" s="1"/>
      <c r="X138" s="1"/>
      <c r="Y138" s="1"/>
      <c r="Z138" s="1"/>
      <c r="AA138" s="1"/>
      <c r="AB138" s="1"/>
      <c r="AC138" s="1"/>
      <c r="AD138" s="1"/>
      <c r="AE138" s="1"/>
      <c r="AF138" s="1"/>
      <c r="AG138" s="1"/>
      <c r="AH138" s="1"/>
      <c r="AI138" s="1"/>
    </row>
    <row r="139" spans="16:35" x14ac:dyDescent="0.3">
      <c r="P139" s="1"/>
      <c r="Q139" s="1"/>
      <c r="R139" s="1"/>
      <c r="S139" s="1"/>
      <c r="T139" s="1"/>
      <c r="U139" s="1"/>
      <c r="V139" s="1"/>
      <c r="W139" s="1"/>
      <c r="X139" s="1"/>
      <c r="Y139" s="1"/>
      <c r="Z139" s="1"/>
      <c r="AA139" s="1"/>
      <c r="AB139" s="1"/>
      <c r="AC139" s="1"/>
      <c r="AD139" s="1"/>
      <c r="AE139" s="1"/>
      <c r="AF139" s="1"/>
      <c r="AG139" s="1"/>
      <c r="AH139" s="1"/>
      <c r="AI139" s="1"/>
    </row>
    <row r="140" spans="16:35" x14ac:dyDescent="0.3">
      <c r="P140" s="1"/>
      <c r="Q140" s="1"/>
      <c r="R140" s="1"/>
      <c r="S140" s="1"/>
      <c r="T140" s="1"/>
      <c r="U140" s="1"/>
      <c r="V140" s="1"/>
      <c r="W140" s="1"/>
      <c r="X140" s="1"/>
      <c r="Y140" s="1"/>
      <c r="Z140" s="1"/>
      <c r="AA140" s="1"/>
      <c r="AB140" s="1"/>
      <c r="AC140" s="1"/>
      <c r="AD140" s="1"/>
      <c r="AE140" s="1"/>
      <c r="AF140" s="1"/>
      <c r="AG140" s="1"/>
      <c r="AH140" s="1"/>
      <c r="AI140" s="1"/>
    </row>
    <row r="141" spans="16:35" x14ac:dyDescent="0.3">
      <c r="P141" s="1"/>
      <c r="Q141" s="1"/>
      <c r="R141" s="1"/>
      <c r="S141" s="1"/>
      <c r="T141" s="1"/>
      <c r="U141" s="1"/>
      <c r="V141" s="1"/>
      <c r="W141" s="1"/>
      <c r="X141" s="1"/>
      <c r="Y141" s="1"/>
      <c r="Z141" s="1"/>
      <c r="AA141" s="1"/>
      <c r="AB141" s="1"/>
      <c r="AC141" s="1"/>
      <c r="AD141" s="1"/>
      <c r="AE141" s="1"/>
      <c r="AF141" s="1"/>
      <c r="AG141" s="1"/>
      <c r="AH141" s="1"/>
      <c r="AI141" s="1"/>
    </row>
    <row r="142" spans="16:35" x14ac:dyDescent="0.3">
      <c r="P142" s="1"/>
      <c r="Q142" s="1"/>
      <c r="R142" s="1"/>
      <c r="S142" s="1"/>
      <c r="T142" s="1"/>
      <c r="U142" s="1"/>
      <c r="V142" s="1"/>
      <c r="W142" s="1"/>
      <c r="X142" s="1"/>
      <c r="Y142" s="1"/>
      <c r="Z142" s="1"/>
      <c r="AA142" s="1"/>
      <c r="AB142" s="1"/>
      <c r="AC142" s="1"/>
      <c r="AD142" s="1"/>
      <c r="AE142" s="1"/>
      <c r="AF142" s="1"/>
      <c r="AG142" s="1"/>
      <c r="AH142" s="1"/>
      <c r="AI142" s="1"/>
    </row>
    <row r="143" spans="16:35" x14ac:dyDescent="0.3">
      <c r="P143" s="1"/>
      <c r="Q143" s="1"/>
      <c r="R143" s="1"/>
      <c r="S143" s="1"/>
      <c r="T143" s="1"/>
      <c r="U143" s="1"/>
      <c r="V143" s="1"/>
      <c r="W143" s="1"/>
      <c r="X143" s="1"/>
      <c r="Y143" s="1"/>
      <c r="Z143" s="1"/>
      <c r="AA143" s="1"/>
      <c r="AB143" s="1"/>
      <c r="AC143" s="1"/>
      <c r="AD143" s="1"/>
      <c r="AE143" s="1"/>
      <c r="AF143" s="1"/>
      <c r="AG143" s="1"/>
      <c r="AH143" s="1"/>
      <c r="AI143" s="1"/>
    </row>
    <row r="144" spans="16:35" x14ac:dyDescent="0.3">
      <c r="P144" s="1"/>
      <c r="Q144" s="1"/>
      <c r="R144" s="1"/>
      <c r="S144" s="1"/>
      <c r="T144" s="1"/>
      <c r="U144" s="1"/>
      <c r="V144" s="1"/>
      <c r="W144" s="1"/>
      <c r="X144" s="1"/>
      <c r="Y144" s="1"/>
      <c r="Z144" s="1"/>
      <c r="AA144" s="1"/>
      <c r="AB144" s="1"/>
      <c r="AC144" s="1"/>
      <c r="AD144" s="1"/>
      <c r="AE144" s="1"/>
      <c r="AF144" s="1"/>
      <c r="AG144" s="1"/>
      <c r="AH144" s="1"/>
      <c r="AI144" s="1"/>
    </row>
    <row r="145" spans="16:35" x14ac:dyDescent="0.3">
      <c r="P145" s="1"/>
      <c r="Q145" s="1"/>
      <c r="R145" s="1"/>
      <c r="S145" s="1"/>
      <c r="T145" s="1"/>
      <c r="U145" s="1"/>
      <c r="V145" s="1"/>
      <c r="W145" s="1"/>
      <c r="X145" s="1"/>
      <c r="Y145" s="1"/>
      <c r="Z145" s="1"/>
      <c r="AA145" s="1"/>
      <c r="AB145" s="1"/>
      <c r="AC145" s="1"/>
      <c r="AD145" s="1"/>
      <c r="AE145" s="1"/>
      <c r="AF145" s="1"/>
      <c r="AG145" s="1"/>
      <c r="AH145" s="1"/>
      <c r="AI145" s="1"/>
    </row>
    <row r="146" spans="16:35" x14ac:dyDescent="0.3">
      <c r="P146" s="1"/>
      <c r="Q146" s="1"/>
      <c r="R146" s="1"/>
      <c r="S146" s="1"/>
      <c r="T146" s="1"/>
      <c r="U146" s="1"/>
      <c r="V146" s="1"/>
      <c r="W146" s="1"/>
      <c r="X146" s="1"/>
      <c r="Y146" s="1"/>
      <c r="Z146" s="1"/>
      <c r="AA146" s="1"/>
      <c r="AB146" s="1"/>
      <c r="AC146" s="1"/>
      <c r="AD146" s="1"/>
      <c r="AE146" s="1"/>
      <c r="AF146" s="1"/>
      <c r="AG146" s="1"/>
      <c r="AH146" s="1"/>
      <c r="AI146" s="1"/>
    </row>
    <row r="147" spans="16:35" x14ac:dyDescent="0.3">
      <c r="P147" s="1"/>
      <c r="Q147" s="1"/>
      <c r="R147" s="1"/>
      <c r="S147" s="1"/>
      <c r="T147" s="1"/>
      <c r="U147" s="1"/>
      <c r="V147" s="1"/>
      <c r="W147" s="1"/>
      <c r="X147" s="1"/>
      <c r="Y147" s="1"/>
      <c r="Z147" s="1"/>
      <c r="AA147" s="1"/>
      <c r="AB147" s="1"/>
      <c r="AC147" s="1"/>
      <c r="AD147" s="1"/>
      <c r="AE147" s="1"/>
      <c r="AF147" s="1"/>
      <c r="AG147" s="1"/>
      <c r="AH147" s="1"/>
      <c r="AI147" s="1"/>
    </row>
    <row r="148" spans="16:35" x14ac:dyDescent="0.3">
      <c r="P148" s="1"/>
      <c r="Q148" s="1"/>
      <c r="R148" s="1"/>
      <c r="S148" s="1"/>
      <c r="T148" s="1"/>
      <c r="U148" s="1"/>
      <c r="V148" s="1"/>
      <c r="W148" s="1"/>
      <c r="X148" s="1"/>
      <c r="Y148" s="1"/>
      <c r="Z148" s="1"/>
      <c r="AA148" s="1"/>
      <c r="AB148" s="1"/>
      <c r="AC148" s="1"/>
      <c r="AD148" s="1"/>
      <c r="AE148" s="1"/>
      <c r="AF148" s="1"/>
      <c r="AG148" s="1"/>
      <c r="AH148" s="1"/>
      <c r="AI148" s="1"/>
    </row>
    <row r="149" spans="16:35" x14ac:dyDescent="0.3">
      <c r="P149" s="1"/>
      <c r="Q149" s="1"/>
      <c r="R149" s="1"/>
      <c r="S149" s="1"/>
      <c r="T149" s="1"/>
      <c r="U149" s="1"/>
      <c r="V149" s="1"/>
      <c r="W149" s="1"/>
      <c r="X149" s="1"/>
      <c r="Y149" s="1"/>
      <c r="Z149" s="1"/>
      <c r="AA149" s="1"/>
      <c r="AB149" s="1"/>
      <c r="AC149" s="1"/>
      <c r="AD149" s="1"/>
      <c r="AE149" s="1"/>
      <c r="AF149" s="1"/>
      <c r="AG149" s="1"/>
      <c r="AH149" s="1"/>
      <c r="AI149" s="1"/>
    </row>
    <row r="150" spans="16:35" x14ac:dyDescent="0.3">
      <c r="P150" s="1"/>
      <c r="Q150" s="1"/>
      <c r="R150" s="1"/>
      <c r="S150" s="1"/>
      <c r="T150" s="1"/>
      <c r="U150" s="1"/>
      <c r="V150" s="1"/>
      <c r="W150" s="1"/>
      <c r="X150" s="1"/>
      <c r="Y150" s="1"/>
      <c r="Z150" s="1"/>
      <c r="AA150" s="1"/>
      <c r="AB150" s="1"/>
      <c r="AC150" s="1"/>
      <c r="AD150" s="1"/>
      <c r="AE150" s="1"/>
      <c r="AF150" s="1"/>
      <c r="AG150" s="1"/>
      <c r="AH150" s="1"/>
      <c r="AI150" s="1"/>
    </row>
    <row r="151" spans="16:35" x14ac:dyDescent="0.3">
      <c r="P151" s="1"/>
      <c r="Q151" s="1"/>
      <c r="R151" s="1"/>
      <c r="S151" s="1"/>
      <c r="T151" s="1"/>
      <c r="U151" s="1"/>
      <c r="V151" s="1"/>
      <c r="W151" s="1"/>
      <c r="X151" s="1"/>
      <c r="Y151" s="1"/>
      <c r="Z151" s="1"/>
      <c r="AA151" s="1"/>
      <c r="AB151" s="1"/>
      <c r="AC151" s="1"/>
      <c r="AD151" s="1"/>
      <c r="AE151" s="1"/>
      <c r="AF151" s="1"/>
      <c r="AG151" s="1"/>
      <c r="AH151" s="1"/>
      <c r="AI151" s="1"/>
    </row>
    <row r="152" spans="16:35" x14ac:dyDescent="0.3">
      <c r="P152" s="1"/>
      <c r="Q152" s="1"/>
      <c r="R152" s="1"/>
      <c r="S152" s="1"/>
      <c r="T152" s="1"/>
      <c r="U152" s="1"/>
      <c r="V152" s="1"/>
      <c r="W152" s="1"/>
      <c r="X152" s="1"/>
      <c r="Y152" s="1"/>
      <c r="Z152" s="1"/>
      <c r="AA152" s="1"/>
      <c r="AB152" s="1"/>
      <c r="AC152" s="1"/>
      <c r="AD152" s="1"/>
      <c r="AE152" s="1"/>
      <c r="AF152" s="1"/>
      <c r="AG152" s="1"/>
      <c r="AH152" s="1"/>
      <c r="AI152" s="1"/>
    </row>
    <row r="153" spans="16:35" x14ac:dyDescent="0.3">
      <c r="P153" s="1"/>
      <c r="Q153" s="1"/>
      <c r="R153" s="1"/>
      <c r="S153" s="1"/>
      <c r="T153" s="1"/>
      <c r="U153" s="1"/>
      <c r="V153" s="1"/>
      <c r="W153" s="1"/>
      <c r="X153" s="1"/>
      <c r="Y153" s="1"/>
      <c r="Z153" s="1"/>
      <c r="AA153" s="1"/>
      <c r="AB153" s="1"/>
      <c r="AC153" s="1"/>
      <c r="AD153" s="1"/>
      <c r="AE153" s="1"/>
      <c r="AF153" s="1"/>
      <c r="AG153" s="1"/>
      <c r="AH153" s="1"/>
      <c r="AI153" s="1"/>
    </row>
    <row r="154" spans="16:35" x14ac:dyDescent="0.3">
      <c r="P154" s="1"/>
      <c r="Q154" s="1"/>
      <c r="R154" s="1"/>
      <c r="S154" s="1"/>
      <c r="T154" s="1"/>
      <c r="U154" s="1"/>
      <c r="V154" s="1"/>
      <c r="W154" s="1"/>
      <c r="X154" s="1"/>
      <c r="Y154" s="1"/>
      <c r="Z154" s="1"/>
      <c r="AA154" s="1"/>
      <c r="AB154" s="1"/>
      <c r="AC154" s="1"/>
      <c r="AD154" s="1"/>
      <c r="AE154" s="1"/>
      <c r="AF154" s="1"/>
      <c r="AG154" s="1"/>
      <c r="AH154" s="1"/>
      <c r="AI154" s="1"/>
    </row>
    <row r="155" spans="16:35" x14ac:dyDescent="0.3">
      <c r="P155" s="1"/>
      <c r="Q155" s="1"/>
      <c r="R155" s="1"/>
      <c r="S155" s="1"/>
      <c r="T155" s="1"/>
      <c r="U155" s="1"/>
      <c r="V155" s="1"/>
      <c r="W155" s="1"/>
      <c r="X155" s="1"/>
      <c r="Y155" s="1"/>
      <c r="Z155" s="1"/>
      <c r="AA155" s="1"/>
      <c r="AB155" s="1"/>
      <c r="AC155" s="1"/>
      <c r="AD155" s="1"/>
      <c r="AE155" s="1"/>
      <c r="AF155" s="1"/>
      <c r="AG155" s="1"/>
      <c r="AH155" s="1"/>
      <c r="AI155" s="1"/>
    </row>
    <row r="156" spans="16:35" x14ac:dyDescent="0.3">
      <c r="P156" s="1"/>
      <c r="Q156" s="1"/>
      <c r="R156" s="1"/>
      <c r="S156" s="1"/>
      <c r="T156" s="1"/>
      <c r="U156" s="1"/>
      <c r="V156" s="1"/>
      <c r="W156" s="1"/>
      <c r="X156" s="1"/>
      <c r="Y156" s="1"/>
      <c r="Z156" s="1"/>
      <c r="AA156" s="1"/>
      <c r="AB156" s="1"/>
      <c r="AC156" s="1"/>
      <c r="AD156" s="1"/>
      <c r="AE156" s="1"/>
      <c r="AF156" s="1"/>
      <c r="AG156" s="1"/>
      <c r="AH156" s="1"/>
      <c r="AI156" s="1"/>
    </row>
    <row r="157" spans="16:35" x14ac:dyDescent="0.3">
      <c r="P157" s="1"/>
      <c r="Q157" s="1"/>
      <c r="R157" s="1"/>
      <c r="S157" s="1"/>
      <c r="T157" s="1"/>
      <c r="U157" s="1"/>
      <c r="V157" s="1"/>
      <c r="W157" s="1"/>
      <c r="X157" s="1"/>
      <c r="Y157" s="1"/>
      <c r="Z157" s="1"/>
      <c r="AA157" s="1"/>
      <c r="AB157" s="1"/>
      <c r="AC157" s="1"/>
      <c r="AD157" s="1"/>
      <c r="AE157" s="1"/>
      <c r="AF157" s="1"/>
      <c r="AG157" s="1"/>
      <c r="AH157" s="1"/>
      <c r="AI157" s="1"/>
    </row>
    <row r="158" spans="16:35" x14ac:dyDescent="0.3">
      <c r="P158" s="1"/>
      <c r="Q158" s="1"/>
      <c r="R158" s="1"/>
      <c r="S158" s="1"/>
      <c r="T158" s="1"/>
      <c r="U158" s="1"/>
      <c r="V158" s="1"/>
      <c r="W158" s="1"/>
      <c r="X158" s="1"/>
      <c r="Y158" s="1"/>
      <c r="Z158" s="1"/>
      <c r="AA158" s="1"/>
      <c r="AB158" s="1"/>
      <c r="AC158" s="1"/>
      <c r="AD158" s="1"/>
      <c r="AE158" s="1"/>
      <c r="AF158" s="1"/>
      <c r="AG158" s="1"/>
      <c r="AH158" s="1"/>
      <c r="AI158" s="1"/>
    </row>
    <row r="159" spans="16:35" x14ac:dyDescent="0.3">
      <c r="P159" s="1"/>
      <c r="Q159" s="1"/>
      <c r="R159" s="1"/>
      <c r="S159" s="1"/>
      <c r="T159" s="1"/>
      <c r="U159" s="1"/>
      <c r="V159" s="1"/>
      <c r="W159" s="1"/>
      <c r="X159" s="1"/>
      <c r="Y159" s="1"/>
      <c r="Z159" s="1"/>
      <c r="AA159" s="1"/>
      <c r="AB159" s="1"/>
      <c r="AC159" s="1"/>
      <c r="AD159" s="1"/>
      <c r="AE159" s="1"/>
      <c r="AF159" s="1"/>
      <c r="AG159" s="1"/>
      <c r="AH159" s="1"/>
      <c r="AI159" s="1"/>
    </row>
    <row r="160" spans="16:35" x14ac:dyDescent="0.3">
      <c r="P160" s="1"/>
      <c r="Q160" s="1"/>
      <c r="R160" s="1"/>
      <c r="S160" s="1"/>
      <c r="T160" s="1"/>
      <c r="U160" s="1"/>
      <c r="V160" s="1"/>
      <c r="W160" s="1"/>
      <c r="X160" s="1"/>
      <c r="Y160" s="1"/>
      <c r="Z160" s="1"/>
      <c r="AA160" s="1"/>
      <c r="AB160" s="1"/>
      <c r="AC160" s="1"/>
      <c r="AD160" s="1"/>
      <c r="AE160" s="1"/>
      <c r="AF160" s="1"/>
      <c r="AG160" s="1"/>
      <c r="AH160" s="1"/>
      <c r="AI160" s="1"/>
    </row>
    <row r="161" spans="16:35" x14ac:dyDescent="0.3">
      <c r="P161" s="1"/>
      <c r="Q161" s="1"/>
      <c r="R161" s="1"/>
      <c r="S161" s="1"/>
      <c r="T161" s="1"/>
      <c r="U161" s="1"/>
      <c r="V161" s="1"/>
      <c r="W161" s="1"/>
      <c r="X161" s="1"/>
      <c r="Y161" s="1"/>
      <c r="Z161" s="1"/>
      <c r="AA161" s="1"/>
      <c r="AB161" s="1"/>
      <c r="AC161" s="1"/>
      <c r="AD161" s="1"/>
      <c r="AE161" s="1"/>
      <c r="AF161" s="1"/>
      <c r="AG161" s="1"/>
      <c r="AH161" s="1"/>
      <c r="AI161" s="1"/>
    </row>
    <row r="162" spans="16:35" x14ac:dyDescent="0.3">
      <c r="P162" s="1"/>
      <c r="Q162" s="1"/>
      <c r="R162" s="1"/>
      <c r="S162" s="1"/>
      <c r="T162" s="1"/>
      <c r="U162" s="1"/>
      <c r="V162" s="1"/>
      <c r="W162" s="1"/>
      <c r="X162" s="1"/>
      <c r="Y162" s="1"/>
      <c r="Z162" s="1"/>
      <c r="AA162" s="1"/>
      <c r="AB162" s="1"/>
      <c r="AC162" s="1"/>
      <c r="AD162" s="1"/>
      <c r="AE162" s="1"/>
      <c r="AF162" s="1"/>
      <c r="AG162" s="1"/>
      <c r="AH162" s="1"/>
      <c r="AI162" s="1"/>
    </row>
    <row r="163" spans="16:35" x14ac:dyDescent="0.3">
      <c r="P163" s="1"/>
      <c r="Q163" s="1"/>
      <c r="R163" s="1"/>
      <c r="S163" s="1"/>
      <c r="T163" s="1"/>
      <c r="U163" s="1"/>
      <c r="V163" s="1"/>
      <c r="W163" s="1"/>
      <c r="X163" s="1"/>
      <c r="Y163" s="1"/>
      <c r="Z163" s="1"/>
      <c r="AA163" s="1"/>
      <c r="AB163" s="1"/>
      <c r="AC163" s="1"/>
      <c r="AD163" s="1"/>
      <c r="AE163" s="1"/>
      <c r="AF163" s="1"/>
      <c r="AG163" s="1"/>
      <c r="AH163" s="1"/>
      <c r="AI163" s="1"/>
    </row>
    <row r="164" spans="16:35" x14ac:dyDescent="0.3">
      <c r="P164" s="1"/>
      <c r="Q164" s="1"/>
      <c r="R164" s="1"/>
      <c r="S164" s="1"/>
      <c r="T164" s="1"/>
      <c r="U164" s="1"/>
      <c r="V164" s="1"/>
      <c r="W164" s="1"/>
      <c r="X164" s="1"/>
      <c r="Y164" s="1"/>
      <c r="Z164" s="1"/>
      <c r="AA164" s="1"/>
      <c r="AB164" s="1"/>
      <c r="AC164" s="1"/>
      <c r="AD164" s="1"/>
      <c r="AE164" s="1"/>
      <c r="AF164" s="1"/>
      <c r="AG164" s="1"/>
      <c r="AH164" s="1"/>
      <c r="AI164" s="1"/>
    </row>
    <row r="165" spans="16:35" x14ac:dyDescent="0.3">
      <c r="P165" s="1"/>
      <c r="Q165" s="1"/>
      <c r="R165" s="1"/>
      <c r="S165" s="1"/>
      <c r="T165" s="1"/>
      <c r="U165" s="1"/>
      <c r="V165" s="1"/>
      <c r="W165" s="1"/>
      <c r="X165" s="1"/>
      <c r="Y165" s="1"/>
      <c r="Z165" s="1"/>
      <c r="AA165" s="1"/>
      <c r="AB165" s="1"/>
      <c r="AC165" s="1"/>
      <c r="AD165" s="1"/>
      <c r="AE165" s="1"/>
      <c r="AF165" s="1"/>
      <c r="AG165" s="1"/>
      <c r="AH165" s="1"/>
      <c r="AI165" s="1"/>
    </row>
    <row r="166" spans="16:35" x14ac:dyDescent="0.3">
      <c r="P166" s="1"/>
      <c r="Q166" s="1"/>
      <c r="R166" s="1"/>
      <c r="S166" s="1"/>
      <c r="T166" s="1"/>
      <c r="U166" s="1"/>
      <c r="V166" s="1"/>
      <c r="W166" s="1"/>
      <c r="X166" s="1"/>
      <c r="Y166" s="1"/>
      <c r="Z166" s="1"/>
      <c r="AA166" s="1"/>
      <c r="AB166" s="1"/>
      <c r="AC166" s="1"/>
      <c r="AD166" s="1"/>
      <c r="AE166" s="1"/>
      <c r="AF166" s="1"/>
      <c r="AG166" s="1"/>
      <c r="AH166" s="1"/>
      <c r="AI166" s="1"/>
    </row>
    <row r="167" spans="16:35" x14ac:dyDescent="0.3">
      <c r="P167" s="1"/>
      <c r="Q167" s="1"/>
      <c r="R167" s="1"/>
      <c r="S167" s="1"/>
      <c r="T167" s="1"/>
      <c r="U167" s="1"/>
      <c r="V167" s="1"/>
      <c r="W167" s="1"/>
      <c r="X167" s="1"/>
      <c r="Y167" s="1"/>
      <c r="Z167" s="1"/>
      <c r="AA167" s="1"/>
      <c r="AB167" s="1"/>
      <c r="AC167" s="1"/>
      <c r="AD167" s="1"/>
      <c r="AE167" s="1"/>
      <c r="AF167" s="1"/>
      <c r="AG167" s="1"/>
      <c r="AH167" s="1"/>
      <c r="AI167" s="1"/>
    </row>
    <row r="168" spans="16:35" x14ac:dyDescent="0.3">
      <c r="P168" s="1"/>
      <c r="Q168" s="1"/>
      <c r="R168" s="1"/>
      <c r="S168" s="1"/>
      <c r="T168" s="1"/>
      <c r="U168" s="1"/>
      <c r="V168" s="1"/>
      <c r="W168" s="1"/>
      <c r="X168" s="1"/>
      <c r="Y168" s="1"/>
      <c r="Z168" s="1"/>
      <c r="AA168" s="1"/>
      <c r="AB168" s="1"/>
      <c r="AC168" s="1"/>
      <c r="AD168" s="1"/>
      <c r="AE168" s="1"/>
      <c r="AF168" s="1"/>
      <c r="AG168" s="1"/>
      <c r="AH168" s="1"/>
      <c r="AI168" s="1"/>
    </row>
    <row r="169" spans="16:35" x14ac:dyDescent="0.3">
      <c r="P169" s="1"/>
      <c r="Q169" s="1"/>
      <c r="R169" s="1"/>
      <c r="S169" s="1"/>
      <c r="T169" s="1"/>
      <c r="U169" s="1"/>
      <c r="V169" s="1"/>
      <c r="W169" s="1"/>
      <c r="X169" s="1"/>
      <c r="Y169" s="1"/>
      <c r="Z169" s="1"/>
      <c r="AA169" s="1"/>
      <c r="AB169" s="1"/>
      <c r="AC169" s="1"/>
      <c r="AD169" s="1"/>
      <c r="AE169" s="1"/>
      <c r="AF169" s="1"/>
      <c r="AG169" s="1"/>
      <c r="AH169" s="1"/>
      <c r="AI169" s="1"/>
    </row>
    <row r="170" spans="16:35" x14ac:dyDescent="0.3">
      <c r="P170" s="1"/>
      <c r="Q170" s="1"/>
      <c r="R170" s="1"/>
      <c r="S170" s="1"/>
      <c r="T170" s="1"/>
      <c r="U170" s="1"/>
      <c r="V170" s="1"/>
      <c r="W170" s="1"/>
      <c r="X170" s="1"/>
      <c r="Y170" s="1"/>
      <c r="Z170" s="1"/>
      <c r="AA170" s="1"/>
      <c r="AB170" s="1"/>
      <c r="AC170" s="1"/>
      <c r="AD170" s="1"/>
      <c r="AE170" s="1"/>
      <c r="AF170" s="1"/>
      <c r="AG170" s="1"/>
      <c r="AH170" s="1"/>
      <c r="AI170" s="1"/>
    </row>
  </sheetData>
  <autoFilter ref="A3:H12" xr:uid="{8B258222-CD82-42C7-8356-9B8F2E95F8B6}"/>
  <dataValidations count="2">
    <dataValidation type="list" allowBlank="1" showInputMessage="1" showErrorMessage="1" sqref="F4:F23" xr:uid="{EE977443-994A-4A84-8059-1366673EB5E2}">
      <formula1>penawaran_status</formula1>
    </dataValidation>
    <dataValidation type="list" allowBlank="1" showInputMessage="1" showErrorMessage="1" sqref="B4:B23" xr:uid="{67AB7D75-8DD3-4275-8979-00B7DB9CFCDE}">
      <formula1>ya_tdk</formula1>
    </dataValidation>
  </dataValidations>
  <hyperlinks>
    <hyperlink ref="A3" location="'Penawaran PrEP'!A3" display="No" xr:uid="{70EAEF1D-8FF1-4D1B-B369-BE6452FD25D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D394C-6BE9-4537-BC2C-BE51EEF723C9}">
  <sheetPr codeName="Sheet2"/>
  <dimension ref="A1:AE108"/>
  <sheetViews>
    <sheetView showGridLines="0" showRowColHeaders="0" zoomScale="90" zoomScaleNormal="90" workbookViewId="0">
      <pane xSplit="12" ySplit="3" topLeftCell="P4" activePane="bottomRight" state="frozen"/>
      <selection pane="topRight" activeCell="M1" sqref="M1"/>
      <selection pane="bottomLeft" activeCell="A4" sqref="A4"/>
      <selection pane="bottomRight" activeCell="B4" sqref="B4"/>
    </sheetView>
  </sheetViews>
  <sheetFormatPr defaultRowHeight="14.4" x14ac:dyDescent="0.3"/>
  <cols>
    <col min="2" max="2" width="12.33203125" customWidth="1"/>
    <col min="3" max="3" width="16.21875" customWidth="1"/>
    <col min="4" max="4" width="15.5546875" customWidth="1"/>
    <col min="5" max="5" width="19.33203125" customWidth="1"/>
    <col min="6" max="6" width="18.88671875" customWidth="1"/>
    <col min="7" max="7" width="21.88671875" customWidth="1"/>
    <col min="8" max="8" width="15.21875" customWidth="1"/>
    <col min="9" max="9" width="20" customWidth="1"/>
    <col min="10" max="10" width="13.33203125" customWidth="1"/>
    <col min="11" max="13" width="25.5546875" customWidth="1"/>
    <col min="14" max="14" width="47.33203125" customWidth="1"/>
    <col min="16" max="16" width="51.5546875" customWidth="1"/>
  </cols>
  <sheetData>
    <row r="1" spans="1:31" x14ac:dyDescent="0.3">
      <c r="G1" s="1">
        <v>4</v>
      </c>
      <c r="O1" s="1">
        <f>COUNTIF(B4:B49979,"Ya")</f>
        <v>0</v>
      </c>
      <c r="P1" s="1">
        <f>SUM(Q1:Z1)</f>
        <v>0</v>
      </c>
      <c r="Q1" s="1">
        <f>SUM(Q4:Q49979)</f>
        <v>0</v>
      </c>
      <c r="R1" s="1">
        <f t="shared" ref="R1:Z1" si="0">SUM(R4:R49979)</f>
        <v>0</v>
      </c>
      <c r="S1" s="1">
        <f t="shared" si="0"/>
        <v>0</v>
      </c>
      <c r="T1" s="1">
        <f t="shared" si="0"/>
        <v>0</v>
      </c>
      <c r="U1" s="1">
        <f t="shared" si="0"/>
        <v>0</v>
      </c>
      <c r="V1" s="1">
        <f t="shared" si="0"/>
        <v>0</v>
      </c>
      <c r="W1" s="1">
        <f t="shared" si="0"/>
        <v>0</v>
      </c>
      <c r="X1" s="1">
        <f t="shared" si="0"/>
        <v>0</v>
      </c>
      <c r="Y1" s="1">
        <f t="shared" si="0"/>
        <v>0</v>
      </c>
      <c r="Z1" s="1">
        <f t="shared" si="0"/>
        <v>0</v>
      </c>
      <c r="AA1" s="1"/>
      <c r="AB1" s="1"/>
      <c r="AC1" s="1"/>
      <c r="AD1" s="1"/>
      <c r="AE1" s="1"/>
    </row>
    <row r="2" spans="1:31" x14ac:dyDescent="0.3">
      <c r="L2" s="2"/>
      <c r="M2" s="2" t="e">
        <f>IF(AND(format_date=TRUE,format_date_chrome="en-US"),VLOOKUP(MONTH(I2),month_2digit,2,FALSE)&amp;VLOOKUP(DAY(I2),day_2digit,2,FALSE)&amp;YEAR(I2),IF(AND(format_date=TRUE,format_date_chrome="id"),VLOOKUP(DAY(I2),day_2digit,2,FALSE)&amp;VLOOKUP(MONTH(I2),month_2digit,2,FALSE)&amp;YEAR(I2),VLOOKUP(DAY(I2),day_2digit,2,FALSE)&amp;VLOOKUP(MONTH(I2),month_2digit,2,FALSE)&amp;","&amp;YEAR(I2)))</f>
        <v>#N/A</v>
      </c>
      <c r="N2" s="37"/>
      <c r="O2" s="1"/>
      <c r="P2" s="1">
        <f>COUNTIFS(A4:A49979,"&gt;0",B4:B49979,"Ya")</f>
        <v>0</v>
      </c>
      <c r="Q2" s="1">
        <f>IF($B2&lt;&gt;"Ya",0,IF($C2="",1,0))</f>
        <v>0</v>
      </c>
      <c r="R2" s="1"/>
      <c r="S2" s="1">
        <f>IF($B2&lt;&gt;"Ya",0,IF(E2="",1,0))</f>
        <v>0</v>
      </c>
      <c r="T2" s="1">
        <f>IF($B2&lt;&gt;"Ya",0,IF($F2="",1,IF(LEN($F2)&lt;&gt;16,1,0)))</f>
        <v>0</v>
      </c>
      <c r="U2" s="1">
        <f>IF($B2&lt;&gt;"Ya",0,IF(G2="",1,0))</f>
        <v>0</v>
      </c>
      <c r="V2" s="1">
        <f>IF($B2&lt;&gt;"Ya",0,IF(H2="",1,0))</f>
        <v>0</v>
      </c>
      <c r="W2" s="1">
        <f>IF($B2&lt;&gt;"Ya",0,IF(I2="",1,IFERROR(VLOOKUP(MONTH(I2),admin_prep!$A$2:$C$13,3,FALSE),1)))</f>
        <v>0</v>
      </c>
      <c r="X2" s="1">
        <f>IF($B2&lt;&gt;"Ya",0,IF(J2="",1,IFERROR(VLOOKUP(J2,admin_prep!$I$2:$J$3,2,FALSE),1)))</f>
        <v>0</v>
      </c>
      <c r="Y2" s="1">
        <f>IF($B2&lt;&gt;"Ya",0,IF(K2="",1,IFERROR(VLOOKUP(K2,admin_prep!$G$2:$H$8,2,FALSE),1)))</f>
        <v>0</v>
      </c>
      <c r="Z2" s="1">
        <f>IF($B2&lt;&gt;"Ya",0,IFERROR(VLOOKUP($J2&amp;$K2,admin_prep!$T$2:$U$4,2,FALSE),0))</f>
        <v>0</v>
      </c>
      <c r="AA2" s="1"/>
      <c r="AB2" s="1"/>
      <c r="AC2" s="1"/>
      <c r="AD2" s="1"/>
      <c r="AE2" s="1"/>
    </row>
    <row r="3" spans="1:31" ht="43.8" customHeight="1" x14ac:dyDescent="0.3">
      <c r="A3" s="30" t="s">
        <v>0</v>
      </c>
      <c r="B3" s="30" t="s">
        <v>1</v>
      </c>
      <c r="C3" s="30" t="s">
        <v>3</v>
      </c>
      <c r="D3" s="11" t="s">
        <v>11</v>
      </c>
      <c r="E3" s="30" t="s">
        <v>12</v>
      </c>
      <c r="F3" s="30" t="s">
        <v>2</v>
      </c>
      <c r="G3" s="30" t="s">
        <v>13</v>
      </c>
      <c r="H3" s="30" t="s">
        <v>14</v>
      </c>
      <c r="I3" s="30" t="s">
        <v>15</v>
      </c>
      <c r="J3" s="30" t="s">
        <v>16</v>
      </c>
      <c r="K3" s="30" t="s">
        <v>17</v>
      </c>
      <c r="L3" s="31" t="s">
        <v>6</v>
      </c>
      <c r="M3" s="31" t="s">
        <v>18</v>
      </c>
      <c r="N3" s="37"/>
      <c r="O3" s="1"/>
      <c r="P3" s="1"/>
      <c r="Q3" s="1" t="s">
        <v>3</v>
      </c>
      <c r="R3" s="1" t="s">
        <v>11</v>
      </c>
      <c r="S3" s="1" t="s">
        <v>12</v>
      </c>
      <c r="T3" s="1" t="s">
        <v>2</v>
      </c>
      <c r="U3" s="1" t="s">
        <v>13</v>
      </c>
      <c r="V3" s="1" t="s">
        <v>14</v>
      </c>
      <c r="W3" s="1" t="s">
        <v>15</v>
      </c>
      <c r="X3" s="1" t="s">
        <v>16</v>
      </c>
      <c r="Y3" s="1" t="s">
        <v>17</v>
      </c>
      <c r="Z3" s="1" t="s">
        <v>331</v>
      </c>
      <c r="AA3" s="1"/>
      <c r="AB3" s="1"/>
      <c r="AC3" s="1"/>
      <c r="AD3" s="1"/>
      <c r="AE3" s="1"/>
    </row>
    <row r="4" spans="1:31" ht="14.4" customHeight="1" x14ac:dyDescent="0.3">
      <c r="A4" s="34">
        <v>1</v>
      </c>
      <c r="B4" s="4"/>
      <c r="C4" s="4"/>
      <c r="D4" s="6"/>
      <c r="E4" s="39"/>
      <c r="F4" s="5"/>
      <c r="G4" s="7"/>
      <c r="H4" s="4"/>
      <c r="I4" s="40"/>
      <c r="J4" s="4"/>
      <c r="K4" s="4"/>
      <c r="L4" s="2"/>
      <c r="M4" s="2"/>
      <c r="N4" s="37"/>
      <c r="O4" s="1"/>
      <c r="P4" s="1"/>
      <c r="Q4" s="1">
        <f t="shared" ref="Q4:Q23" si="1">IF($B4&lt;&gt;"Ya",0,IF($C4="",1,0))</f>
        <v>0</v>
      </c>
      <c r="R4" s="1"/>
      <c r="S4" s="1">
        <f t="shared" ref="S4:S23" si="2">IF($B4&lt;&gt;"Ya",0,IF(E4="",1,0))</f>
        <v>0</v>
      </c>
      <c r="T4" s="1">
        <f t="shared" ref="T4:T23" si="3">IF($B4&lt;&gt;"Ya",0,IF($F4="",1,IF(LEN($F4)&lt;&gt;16,1,0)))</f>
        <v>0</v>
      </c>
      <c r="U4" s="1">
        <f t="shared" ref="U4:U23" si="4">IF($B4&lt;&gt;"Ya",0,IF(G4="",1,0))</f>
        <v>0</v>
      </c>
      <c r="V4" s="1">
        <f t="shared" ref="V4:V23" si="5">IF($B4&lt;&gt;"Ya",0,IF(H4="",1,0))</f>
        <v>0</v>
      </c>
      <c r="W4" s="1">
        <f>IF($B4&lt;&gt;"Ya",0,IF(I4="",1,IFERROR(VLOOKUP(MONTH(I4),admin_prep!$A$2:$C$13,3,FALSE),1)))</f>
        <v>0</v>
      </c>
      <c r="X4" s="1">
        <f>IF($B4&lt;&gt;"Ya",0,IF(J4="",1,IFERROR(VLOOKUP(J4,admin_prep!$I$2:$J$3,2,FALSE),1)))</f>
        <v>0</v>
      </c>
      <c r="Y4" s="1">
        <f>IF($B4&lt;&gt;"Ya",0,IF(K4="",1,IFERROR(VLOOKUP(K4,admin_prep!$G$2:$H$8,2,FALSE),1)))</f>
        <v>0</v>
      </c>
      <c r="Z4" s="1">
        <f>IF($B4&lt;&gt;"Ya",0,IFERROR(VLOOKUP($J4&amp;$K4,admin_prep!$T$2:$U$4,2,FALSE),0))</f>
        <v>0</v>
      </c>
    </row>
    <row r="5" spans="1:31" x14ac:dyDescent="0.3">
      <c r="A5" s="34">
        <v>2</v>
      </c>
      <c r="B5" s="4"/>
      <c r="C5" s="4"/>
      <c r="D5" s="6"/>
      <c r="E5" s="39"/>
      <c r="F5" s="5"/>
      <c r="G5" s="7"/>
      <c r="H5" s="4"/>
      <c r="I5" s="40"/>
      <c r="J5" s="4"/>
      <c r="K5" s="4"/>
      <c r="L5" s="2"/>
      <c r="M5" s="2"/>
      <c r="N5" s="37"/>
      <c r="O5" s="1"/>
      <c r="P5" s="1"/>
      <c r="Q5" s="1">
        <f t="shared" si="1"/>
        <v>0</v>
      </c>
      <c r="R5" s="1"/>
      <c r="S5" s="1">
        <f t="shared" si="2"/>
        <v>0</v>
      </c>
      <c r="T5" s="1">
        <f t="shared" si="3"/>
        <v>0</v>
      </c>
      <c r="U5" s="1">
        <f t="shared" si="4"/>
        <v>0</v>
      </c>
      <c r="V5" s="1">
        <f t="shared" si="5"/>
        <v>0</v>
      </c>
      <c r="W5" s="1">
        <f>IF($B5&lt;&gt;"Ya",0,IF(I5="",1,IFERROR(VLOOKUP(MONTH(I5),admin_prep!$A$2:$C$13,3,FALSE),1)))</f>
        <v>0</v>
      </c>
      <c r="X5" s="1">
        <f>IF($B5&lt;&gt;"Ya",0,IF(J5="",1,IFERROR(VLOOKUP(J5,admin_prep!$I$2:$J$3,2,FALSE),1)))</f>
        <v>0</v>
      </c>
      <c r="Y5" s="1">
        <f>IF($B5&lt;&gt;"Ya",0,IF(K5="",1,IFERROR(VLOOKUP(K5,admin_prep!$G$2:$H$8,2,FALSE),1)))</f>
        <v>0</v>
      </c>
      <c r="Z5" s="1">
        <f>IF($B5&lt;&gt;"Ya",0,IFERROR(VLOOKUP($J5&amp;$K5,admin_prep!$T$2:$U$4,2,FALSE),0))</f>
        <v>0</v>
      </c>
    </row>
    <row r="6" spans="1:31" x14ac:dyDescent="0.3">
      <c r="A6" s="34">
        <v>3</v>
      </c>
      <c r="B6" s="4"/>
      <c r="C6" s="4"/>
      <c r="D6" s="6"/>
      <c r="E6" s="39"/>
      <c r="F6" s="5"/>
      <c r="G6" s="7"/>
      <c r="H6" s="4"/>
      <c r="I6" s="40"/>
      <c r="J6" s="4"/>
      <c r="K6" s="4"/>
      <c r="L6" s="2"/>
      <c r="M6" s="2"/>
      <c r="N6" s="37"/>
      <c r="O6" s="1"/>
      <c r="P6" s="1"/>
      <c r="Q6" s="1">
        <f t="shared" si="1"/>
        <v>0</v>
      </c>
      <c r="R6" s="1"/>
      <c r="S6" s="1">
        <f t="shared" si="2"/>
        <v>0</v>
      </c>
      <c r="T6" s="1">
        <f t="shared" si="3"/>
        <v>0</v>
      </c>
      <c r="U6" s="1">
        <f t="shared" si="4"/>
        <v>0</v>
      </c>
      <c r="V6" s="1">
        <f t="shared" si="5"/>
        <v>0</v>
      </c>
      <c r="W6" s="1">
        <f>IF($B6&lt;&gt;"Ya",0,IF(I6="",1,IFERROR(VLOOKUP(MONTH(I6),admin_prep!$A$2:$C$13,3,FALSE),1)))</f>
        <v>0</v>
      </c>
      <c r="X6" s="1">
        <f>IF($B6&lt;&gt;"Ya",0,IF(J6="",1,IFERROR(VLOOKUP(J6,admin_prep!$I$2:$J$3,2,FALSE),1)))</f>
        <v>0</v>
      </c>
      <c r="Y6" s="1">
        <f>IF($B6&lt;&gt;"Ya",0,IF(K6="",1,IFERROR(VLOOKUP(K6,admin_prep!$G$2:$H$8,2,FALSE),1)))</f>
        <v>0</v>
      </c>
      <c r="Z6" s="1">
        <f>IF($B6&lt;&gt;"Ya",0,IFERROR(VLOOKUP($J6&amp;$K6,admin_prep!$T$2:$U$4,2,FALSE),0))</f>
        <v>0</v>
      </c>
    </row>
    <row r="7" spans="1:31" x14ac:dyDescent="0.3">
      <c r="A7" s="34">
        <v>4</v>
      </c>
      <c r="B7" s="4"/>
      <c r="C7" s="4"/>
      <c r="D7" s="6"/>
      <c r="E7" s="39"/>
      <c r="F7" s="5"/>
      <c r="G7" s="7"/>
      <c r="H7" s="4"/>
      <c r="I7" s="40"/>
      <c r="J7" s="4"/>
      <c r="K7" s="4"/>
      <c r="L7" s="2"/>
      <c r="M7" s="2"/>
      <c r="O7" s="1"/>
      <c r="P7" s="1"/>
      <c r="Q7" s="1">
        <f t="shared" si="1"/>
        <v>0</v>
      </c>
      <c r="R7" s="1"/>
      <c r="S7" s="1">
        <f t="shared" si="2"/>
        <v>0</v>
      </c>
      <c r="T7" s="1">
        <f t="shared" si="3"/>
        <v>0</v>
      </c>
      <c r="U7" s="1">
        <f t="shared" si="4"/>
        <v>0</v>
      </c>
      <c r="V7" s="1">
        <f t="shared" si="5"/>
        <v>0</v>
      </c>
      <c r="W7" s="1">
        <f>IF($B7&lt;&gt;"Ya",0,IF(I7="",1,IFERROR(VLOOKUP(MONTH(I7),admin_prep!$A$2:$C$13,3,FALSE),1)))</f>
        <v>0</v>
      </c>
      <c r="X7" s="1">
        <f>IF($B7&lt;&gt;"Ya",0,IF(J7="",1,IFERROR(VLOOKUP(J7,admin_prep!$I$2:$J$3,2,FALSE),1)))</f>
        <v>0</v>
      </c>
      <c r="Y7" s="1">
        <f>IF($B7&lt;&gt;"Ya",0,IF(K7="",1,IFERROR(VLOOKUP(K7,admin_prep!$G$2:$H$8,2,FALSE),1)))</f>
        <v>0</v>
      </c>
      <c r="Z7" s="1">
        <f>IF($B7&lt;&gt;"Ya",0,IFERROR(VLOOKUP($J7&amp;$K7,admin_prep!$T$2:$U$4,2,FALSE),0))</f>
        <v>0</v>
      </c>
    </row>
    <row r="8" spans="1:31" x14ac:dyDescent="0.3">
      <c r="A8" s="34">
        <v>5</v>
      </c>
      <c r="B8" s="4"/>
      <c r="C8" s="4"/>
      <c r="D8" s="6"/>
      <c r="E8" s="39"/>
      <c r="F8" s="5"/>
      <c r="G8" s="7"/>
      <c r="H8" s="4"/>
      <c r="I8" s="40"/>
      <c r="J8" s="4"/>
      <c r="K8" s="4"/>
      <c r="L8" s="2"/>
      <c r="M8" s="2"/>
      <c r="O8" s="1"/>
      <c r="P8" s="1"/>
      <c r="Q8" s="1">
        <f t="shared" si="1"/>
        <v>0</v>
      </c>
      <c r="R8" s="1"/>
      <c r="S8" s="1">
        <f t="shared" si="2"/>
        <v>0</v>
      </c>
      <c r="T8" s="1">
        <f t="shared" si="3"/>
        <v>0</v>
      </c>
      <c r="U8" s="1">
        <f t="shared" si="4"/>
        <v>0</v>
      </c>
      <c r="V8" s="1">
        <f t="shared" si="5"/>
        <v>0</v>
      </c>
      <c r="W8" s="1">
        <f>IF($B8&lt;&gt;"Ya",0,IF(I8="",1,IFERROR(VLOOKUP(MONTH(I8),admin_prep!$A$2:$C$13,3,FALSE),1)))</f>
        <v>0</v>
      </c>
      <c r="X8" s="1">
        <f>IF($B8&lt;&gt;"Ya",0,IF(J8="",1,IFERROR(VLOOKUP(J8,admin_prep!$I$2:$J$3,2,FALSE),1)))</f>
        <v>0</v>
      </c>
      <c r="Y8" s="1">
        <f>IF($B8&lt;&gt;"Ya",0,IF(K8="",1,IFERROR(VLOOKUP(K8,admin_prep!$G$2:$H$8,2,FALSE),1)))</f>
        <v>0</v>
      </c>
      <c r="Z8" s="1">
        <f>IF($B8&lt;&gt;"Ya",0,IFERROR(VLOOKUP($J8&amp;$K8,admin_prep!$T$2:$U$4,2,FALSE),0))</f>
        <v>0</v>
      </c>
    </row>
    <row r="9" spans="1:31" x14ac:dyDescent="0.3">
      <c r="A9" s="34">
        <v>6</v>
      </c>
      <c r="B9" s="4"/>
      <c r="C9" s="4"/>
      <c r="D9" s="6"/>
      <c r="E9" s="39"/>
      <c r="F9" s="5"/>
      <c r="G9" s="7"/>
      <c r="H9" s="4"/>
      <c r="I9" s="40"/>
      <c r="J9" s="4"/>
      <c r="K9" s="4"/>
      <c r="L9" s="2"/>
      <c r="M9" s="2"/>
      <c r="O9" s="1"/>
      <c r="P9" s="1"/>
      <c r="Q9" s="1">
        <f t="shared" si="1"/>
        <v>0</v>
      </c>
      <c r="R9" s="1"/>
      <c r="S9" s="1">
        <f t="shared" si="2"/>
        <v>0</v>
      </c>
      <c r="T9" s="1">
        <f t="shared" si="3"/>
        <v>0</v>
      </c>
      <c r="U9" s="1">
        <f t="shared" si="4"/>
        <v>0</v>
      </c>
      <c r="V9" s="1">
        <f t="shared" si="5"/>
        <v>0</v>
      </c>
      <c r="W9" s="1">
        <f>IF($B9&lt;&gt;"Ya",0,IF(I9="",1,IFERROR(VLOOKUP(MONTH(I9),admin_prep!$A$2:$C$13,3,FALSE),1)))</f>
        <v>0</v>
      </c>
      <c r="X9" s="1">
        <f>IF($B9&lt;&gt;"Ya",0,IF(J9="",1,IFERROR(VLOOKUP(J9,admin_prep!$I$2:$J$3,2,FALSE),1)))</f>
        <v>0</v>
      </c>
      <c r="Y9" s="1">
        <f>IF($B9&lt;&gt;"Ya",0,IF(K9="",1,IFERROR(VLOOKUP(K9,admin_prep!$G$2:$H$8,2,FALSE),1)))</f>
        <v>0</v>
      </c>
      <c r="Z9" s="1">
        <f>IF($B9&lt;&gt;"Ya",0,IFERROR(VLOOKUP($J9&amp;$K9,admin_prep!$T$2:$U$4,2,FALSE),0))</f>
        <v>0</v>
      </c>
    </row>
    <row r="10" spans="1:31" x14ac:dyDescent="0.3">
      <c r="A10" s="34">
        <v>7</v>
      </c>
      <c r="B10" s="4"/>
      <c r="C10" s="4"/>
      <c r="D10" s="6"/>
      <c r="E10" s="39"/>
      <c r="F10" s="5"/>
      <c r="G10" s="7"/>
      <c r="H10" s="4"/>
      <c r="I10" s="40"/>
      <c r="J10" s="4"/>
      <c r="K10" s="4"/>
      <c r="L10" s="2"/>
      <c r="M10" s="2"/>
      <c r="O10" s="1"/>
      <c r="P10" s="1"/>
      <c r="Q10" s="1">
        <f t="shared" si="1"/>
        <v>0</v>
      </c>
      <c r="R10" s="1"/>
      <c r="S10" s="1">
        <f t="shared" si="2"/>
        <v>0</v>
      </c>
      <c r="T10" s="1">
        <f t="shared" si="3"/>
        <v>0</v>
      </c>
      <c r="U10" s="1">
        <f t="shared" si="4"/>
        <v>0</v>
      </c>
      <c r="V10" s="1">
        <f t="shared" si="5"/>
        <v>0</v>
      </c>
      <c r="W10" s="1">
        <f>IF($B10&lt;&gt;"Ya",0,IF(I10="",1,IFERROR(VLOOKUP(MONTH(I10),admin_prep!$A$2:$C$13,3,FALSE),1)))</f>
        <v>0</v>
      </c>
      <c r="X10" s="1">
        <f>IF($B10&lt;&gt;"Ya",0,IF(J10="",1,IFERROR(VLOOKUP(J10,admin_prep!$I$2:$J$3,2,FALSE),1)))</f>
        <v>0</v>
      </c>
      <c r="Y10" s="1">
        <f>IF($B10&lt;&gt;"Ya",0,IF(K10="",1,IFERROR(VLOOKUP(K10,admin_prep!$G$2:$H$8,2,FALSE),1)))</f>
        <v>0</v>
      </c>
      <c r="Z10" s="1">
        <f>IF($B10&lt;&gt;"Ya",0,IFERROR(VLOOKUP($J10&amp;$K10,admin_prep!$T$2:$U$4,2,FALSE),0))</f>
        <v>0</v>
      </c>
    </row>
    <row r="11" spans="1:31" x14ac:dyDescent="0.3">
      <c r="A11" s="34">
        <v>8</v>
      </c>
      <c r="B11" s="4"/>
      <c r="C11" s="4"/>
      <c r="D11" s="6"/>
      <c r="E11" s="39"/>
      <c r="F11" s="5"/>
      <c r="G11" s="7"/>
      <c r="H11" s="4"/>
      <c r="I11" s="40"/>
      <c r="J11" s="4"/>
      <c r="K11" s="4"/>
      <c r="L11" s="2"/>
      <c r="M11" s="2"/>
      <c r="O11" s="1"/>
      <c r="P11" s="1"/>
      <c r="Q11" s="1">
        <f t="shared" si="1"/>
        <v>0</v>
      </c>
      <c r="R11" s="1"/>
      <c r="S11" s="1">
        <f t="shared" si="2"/>
        <v>0</v>
      </c>
      <c r="T11" s="1">
        <f t="shared" si="3"/>
        <v>0</v>
      </c>
      <c r="U11" s="1">
        <f t="shared" si="4"/>
        <v>0</v>
      </c>
      <c r="V11" s="1">
        <f t="shared" si="5"/>
        <v>0</v>
      </c>
      <c r="W11" s="1">
        <f>IF($B11&lt;&gt;"Ya",0,IF(I11="",1,IFERROR(VLOOKUP(MONTH(I11),admin_prep!$A$2:$C$13,3,FALSE),1)))</f>
        <v>0</v>
      </c>
      <c r="X11" s="1">
        <f>IF($B11&lt;&gt;"Ya",0,IF(J11="",1,IFERROR(VLOOKUP(J11,admin_prep!$I$2:$J$3,2,FALSE),1)))</f>
        <v>0</v>
      </c>
      <c r="Y11" s="1">
        <f>IF($B11&lt;&gt;"Ya",0,IF(K11="",1,IFERROR(VLOOKUP(K11,admin_prep!$G$2:$H$8,2,FALSE),1)))</f>
        <v>0</v>
      </c>
      <c r="Z11" s="1">
        <f>IF($B11&lt;&gt;"Ya",0,IFERROR(VLOOKUP($J11&amp;$K11,admin_prep!$T$2:$U$4,2,FALSE),0))</f>
        <v>0</v>
      </c>
    </row>
    <row r="12" spans="1:31" x14ac:dyDescent="0.3">
      <c r="A12" s="34">
        <v>9</v>
      </c>
      <c r="B12" s="4"/>
      <c r="C12" s="4"/>
      <c r="D12" s="6"/>
      <c r="E12" s="39"/>
      <c r="F12" s="5"/>
      <c r="G12" s="7"/>
      <c r="H12" s="4"/>
      <c r="I12" s="40"/>
      <c r="J12" s="4"/>
      <c r="K12" s="4"/>
      <c r="L12" s="2"/>
      <c r="M12" s="2"/>
      <c r="O12" s="1"/>
      <c r="P12" s="1"/>
      <c r="Q12" s="1">
        <f t="shared" si="1"/>
        <v>0</v>
      </c>
      <c r="R12" s="1"/>
      <c r="S12" s="1">
        <f t="shared" si="2"/>
        <v>0</v>
      </c>
      <c r="T12" s="1">
        <f t="shared" si="3"/>
        <v>0</v>
      </c>
      <c r="U12" s="1">
        <f t="shared" si="4"/>
        <v>0</v>
      </c>
      <c r="V12" s="1">
        <f t="shared" si="5"/>
        <v>0</v>
      </c>
      <c r="W12" s="1">
        <f>IF($B12&lt;&gt;"Ya",0,IF(I12="",1,IFERROR(VLOOKUP(MONTH(I12),admin_prep!$A$2:$C$13,3,FALSE),1)))</f>
        <v>0</v>
      </c>
      <c r="X12" s="1">
        <f>IF($B12&lt;&gt;"Ya",0,IF(J12="",1,IFERROR(VLOOKUP(J12,admin_prep!$I$2:$J$3,2,FALSE),1)))</f>
        <v>0</v>
      </c>
      <c r="Y12" s="1">
        <f>IF($B12&lt;&gt;"Ya",0,IF(K12="",1,IFERROR(VLOOKUP(K12,admin_prep!$G$2:$H$8,2,FALSE),1)))</f>
        <v>0</v>
      </c>
      <c r="Z12" s="1">
        <f>IF($B12&lt;&gt;"Ya",0,IFERROR(VLOOKUP($J12&amp;$K12,admin_prep!$T$2:$U$4,2,FALSE),0))</f>
        <v>0</v>
      </c>
    </row>
    <row r="13" spans="1:31" x14ac:dyDescent="0.3">
      <c r="A13" s="34">
        <v>10</v>
      </c>
      <c r="B13" s="4"/>
      <c r="C13" s="4"/>
      <c r="D13" s="6"/>
      <c r="E13" s="39"/>
      <c r="F13" s="5"/>
      <c r="G13" s="7"/>
      <c r="H13" s="4"/>
      <c r="I13" s="40"/>
      <c r="J13" s="4"/>
      <c r="K13" s="4"/>
      <c r="L13" s="2"/>
      <c r="M13" s="2"/>
      <c r="O13" s="1"/>
      <c r="P13" s="1"/>
      <c r="Q13" s="1">
        <f t="shared" si="1"/>
        <v>0</v>
      </c>
      <c r="R13" s="1"/>
      <c r="S13" s="1">
        <f t="shared" si="2"/>
        <v>0</v>
      </c>
      <c r="T13" s="1">
        <f t="shared" si="3"/>
        <v>0</v>
      </c>
      <c r="U13" s="1">
        <f t="shared" si="4"/>
        <v>0</v>
      </c>
      <c r="V13" s="1">
        <f t="shared" si="5"/>
        <v>0</v>
      </c>
      <c r="W13" s="1">
        <f>IF($B13&lt;&gt;"Ya",0,IF(I13="",1,IFERROR(VLOOKUP(MONTH(I13),admin_prep!$A$2:$C$13,3,FALSE),1)))</f>
        <v>0</v>
      </c>
      <c r="X13" s="1">
        <f>IF($B13&lt;&gt;"Ya",0,IF(J13="",1,IFERROR(VLOOKUP(J13,admin_prep!$I$2:$J$3,2,FALSE),1)))</f>
        <v>0</v>
      </c>
      <c r="Y13" s="1">
        <f>IF($B13&lt;&gt;"Ya",0,IF(K13="",1,IFERROR(VLOOKUP(K13,admin_prep!$G$2:$H$8,2,FALSE),1)))</f>
        <v>0</v>
      </c>
      <c r="Z13" s="1">
        <f>IF($B13&lt;&gt;"Ya",0,IFERROR(VLOOKUP($J13&amp;$K13,admin_prep!$T$2:$U$4,2,FALSE),0))</f>
        <v>0</v>
      </c>
    </row>
    <row r="14" spans="1:31" x14ac:dyDescent="0.3">
      <c r="A14" s="34">
        <v>11</v>
      </c>
      <c r="B14" s="4"/>
      <c r="C14" s="4"/>
      <c r="D14" s="6"/>
      <c r="E14" s="39"/>
      <c r="F14" s="5"/>
      <c r="G14" s="7"/>
      <c r="H14" s="4"/>
      <c r="I14" s="40"/>
      <c r="J14" s="4"/>
      <c r="K14" s="4"/>
      <c r="L14" s="2"/>
      <c r="M14" s="2"/>
      <c r="O14" s="1"/>
      <c r="P14" s="1"/>
      <c r="Q14" s="1">
        <f t="shared" si="1"/>
        <v>0</v>
      </c>
      <c r="R14" s="1"/>
      <c r="S14" s="1">
        <f t="shared" si="2"/>
        <v>0</v>
      </c>
      <c r="T14" s="1">
        <f t="shared" si="3"/>
        <v>0</v>
      </c>
      <c r="U14" s="1">
        <f t="shared" si="4"/>
        <v>0</v>
      </c>
      <c r="V14" s="1">
        <f t="shared" si="5"/>
        <v>0</v>
      </c>
      <c r="W14" s="1">
        <f>IF($B14&lt;&gt;"Ya",0,IF(I14="",1,IFERROR(VLOOKUP(MONTH(I14),admin_prep!$A$2:$C$13,3,FALSE),1)))</f>
        <v>0</v>
      </c>
      <c r="X14" s="1">
        <f>IF($B14&lt;&gt;"Ya",0,IF(J14="",1,IFERROR(VLOOKUP(J14,admin_prep!$I$2:$J$3,2,FALSE),1)))</f>
        <v>0</v>
      </c>
      <c r="Y14" s="1">
        <f>IF($B14&lt;&gt;"Ya",0,IF(K14="",1,IFERROR(VLOOKUP(K14,admin_prep!$G$2:$H$8,2,FALSE),1)))</f>
        <v>0</v>
      </c>
      <c r="Z14" s="1">
        <f>IF($B14&lt;&gt;"Ya",0,IFERROR(VLOOKUP($J14&amp;$K14,admin_prep!$T$2:$U$4,2,FALSE),0))</f>
        <v>0</v>
      </c>
    </row>
    <row r="15" spans="1:31" x14ac:dyDescent="0.3">
      <c r="A15" s="34">
        <v>12</v>
      </c>
      <c r="B15" s="4"/>
      <c r="C15" s="4"/>
      <c r="D15" s="6"/>
      <c r="E15" s="39"/>
      <c r="F15" s="5"/>
      <c r="G15" s="7"/>
      <c r="H15" s="4"/>
      <c r="I15" s="40"/>
      <c r="J15" s="4"/>
      <c r="K15" s="4"/>
      <c r="L15" s="2"/>
      <c r="M15" s="2"/>
      <c r="O15" s="1"/>
      <c r="P15" s="1"/>
      <c r="Q15" s="1">
        <f t="shared" si="1"/>
        <v>0</v>
      </c>
      <c r="R15" s="1"/>
      <c r="S15" s="1">
        <f t="shared" si="2"/>
        <v>0</v>
      </c>
      <c r="T15" s="1">
        <f t="shared" si="3"/>
        <v>0</v>
      </c>
      <c r="U15" s="1">
        <f t="shared" si="4"/>
        <v>0</v>
      </c>
      <c r="V15" s="1">
        <f t="shared" si="5"/>
        <v>0</v>
      </c>
      <c r="W15" s="1">
        <f>IF($B15&lt;&gt;"Ya",0,IF(I15="",1,IFERROR(VLOOKUP(MONTH(I15),admin_prep!$A$2:$C$13,3,FALSE),1)))</f>
        <v>0</v>
      </c>
      <c r="X15" s="1">
        <f>IF($B15&lt;&gt;"Ya",0,IF(J15="",1,IFERROR(VLOOKUP(J15,admin_prep!$I$2:$J$3,2,FALSE),1)))</f>
        <v>0</v>
      </c>
      <c r="Y15" s="1">
        <f>IF($B15&lt;&gt;"Ya",0,IF(K15="",1,IFERROR(VLOOKUP(K15,admin_prep!$G$2:$H$8,2,FALSE),1)))</f>
        <v>0</v>
      </c>
      <c r="Z15" s="1">
        <f>IF($B15&lt;&gt;"Ya",0,IFERROR(VLOOKUP($J15&amp;$K15,admin_prep!$T$2:$U$4,2,FALSE),0))</f>
        <v>0</v>
      </c>
    </row>
    <row r="16" spans="1:31" x14ac:dyDescent="0.3">
      <c r="A16" s="34">
        <v>13</v>
      </c>
      <c r="B16" s="4"/>
      <c r="C16" s="4"/>
      <c r="D16" s="6"/>
      <c r="E16" s="39"/>
      <c r="F16" s="5"/>
      <c r="G16" s="7"/>
      <c r="H16" s="4"/>
      <c r="I16" s="40"/>
      <c r="J16" s="4"/>
      <c r="K16" s="4"/>
      <c r="L16" s="2"/>
      <c r="M16" s="2"/>
      <c r="O16" s="1"/>
      <c r="P16" s="1"/>
      <c r="Q16" s="1">
        <f t="shared" si="1"/>
        <v>0</v>
      </c>
      <c r="R16" s="1"/>
      <c r="S16" s="1">
        <f t="shared" si="2"/>
        <v>0</v>
      </c>
      <c r="T16" s="1">
        <f t="shared" si="3"/>
        <v>0</v>
      </c>
      <c r="U16" s="1">
        <f t="shared" si="4"/>
        <v>0</v>
      </c>
      <c r="V16" s="1">
        <f t="shared" si="5"/>
        <v>0</v>
      </c>
      <c r="W16" s="1">
        <f>IF($B16&lt;&gt;"Ya",0,IF(I16="",1,IFERROR(VLOOKUP(MONTH(I16),admin_prep!$A$2:$C$13,3,FALSE),1)))</f>
        <v>0</v>
      </c>
      <c r="X16" s="1">
        <f>IF($B16&lt;&gt;"Ya",0,IF(J16="",1,IFERROR(VLOOKUP(J16,admin_prep!$I$2:$J$3,2,FALSE),1)))</f>
        <v>0</v>
      </c>
      <c r="Y16" s="1">
        <f>IF($B16&lt;&gt;"Ya",0,IF(K16="",1,IFERROR(VLOOKUP(K16,admin_prep!$G$2:$H$8,2,FALSE),1)))</f>
        <v>0</v>
      </c>
      <c r="Z16" s="1">
        <f>IF($B16&lt;&gt;"Ya",0,IFERROR(VLOOKUP($J16&amp;$K16,admin_prep!$T$2:$U$4,2,FALSE),0))</f>
        <v>0</v>
      </c>
    </row>
    <row r="17" spans="1:31" x14ac:dyDescent="0.3">
      <c r="A17" s="34">
        <v>14</v>
      </c>
      <c r="B17" s="4"/>
      <c r="C17" s="4"/>
      <c r="D17" s="6"/>
      <c r="E17" s="39"/>
      <c r="F17" s="5"/>
      <c r="G17" s="7"/>
      <c r="H17" s="4"/>
      <c r="I17" s="40"/>
      <c r="J17" s="4"/>
      <c r="K17" s="4"/>
      <c r="L17" s="2"/>
      <c r="M17" s="2"/>
      <c r="O17" s="1"/>
      <c r="P17" s="1"/>
      <c r="Q17" s="1">
        <f t="shared" si="1"/>
        <v>0</v>
      </c>
      <c r="R17" s="1"/>
      <c r="S17" s="1">
        <f t="shared" si="2"/>
        <v>0</v>
      </c>
      <c r="T17" s="1">
        <f t="shared" si="3"/>
        <v>0</v>
      </c>
      <c r="U17" s="1">
        <f t="shared" si="4"/>
        <v>0</v>
      </c>
      <c r="V17" s="1">
        <f t="shared" si="5"/>
        <v>0</v>
      </c>
      <c r="W17" s="1">
        <f>IF($B17&lt;&gt;"Ya",0,IF(I17="",1,IFERROR(VLOOKUP(MONTH(I17),admin_prep!$A$2:$C$13,3,FALSE),1)))</f>
        <v>0</v>
      </c>
      <c r="X17" s="1">
        <f>IF($B17&lt;&gt;"Ya",0,IF(J17="",1,IFERROR(VLOOKUP(J17,admin_prep!$I$2:$J$3,2,FALSE),1)))</f>
        <v>0</v>
      </c>
      <c r="Y17" s="1">
        <f>IF($B17&lt;&gt;"Ya",0,IF(K17="",1,IFERROR(VLOOKUP(K17,admin_prep!$G$2:$H$8,2,FALSE),1)))</f>
        <v>0</v>
      </c>
      <c r="Z17" s="1">
        <f>IF($B17&lt;&gt;"Ya",0,IFERROR(VLOOKUP($J17&amp;$K17,admin_prep!$T$2:$U$4,2,FALSE),0))</f>
        <v>0</v>
      </c>
    </row>
    <row r="18" spans="1:31" x14ac:dyDescent="0.3">
      <c r="A18" s="34">
        <v>15</v>
      </c>
      <c r="B18" s="4"/>
      <c r="C18" s="4"/>
      <c r="D18" s="6"/>
      <c r="E18" s="39"/>
      <c r="F18" s="5"/>
      <c r="G18" s="7"/>
      <c r="H18" s="4"/>
      <c r="I18" s="40"/>
      <c r="J18" s="4"/>
      <c r="K18" s="4"/>
      <c r="L18" s="2"/>
      <c r="M18" s="2"/>
      <c r="O18" s="1"/>
      <c r="P18" s="1"/>
      <c r="Q18" s="1">
        <f t="shared" si="1"/>
        <v>0</v>
      </c>
      <c r="R18" s="1"/>
      <c r="S18" s="1">
        <f t="shared" si="2"/>
        <v>0</v>
      </c>
      <c r="T18" s="1">
        <f t="shared" si="3"/>
        <v>0</v>
      </c>
      <c r="U18" s="1">
        <f t="shared" si="4"/>
        <v>0</v>
      </c>
      <c r="V18" s="1">
        <f t="shared" si="5"/>
        <v>0</v>
      </c>
      <c r="W18" s="1">
        <f>IF($B18&lt;&gt;"Ya",0,IF(I18="",1,IFERROR(VLOOKUP(MONTH(I18),admin_prep!$A$2:$C$13,3,FALSE),1)))</f>
        <v>0</v>
      </c>
      <c r="X18" s="1">
        <f>IF($B18&lt;&gt;"Ya",0,IF(J18="",1,IFERROR(VLOOKUP(J18,admin_prep!$I$2:$J$3,2,FALSE),1)))</f>
        <v>0</v>
      </c>
      <c r="Y18" s="1">
        <f>IF($B18&lt;&gt;"Ya",0,IF(K18="",1,IFERROR(VLOOKUP(K18,admin_prep!$G$2:$H$8,2,FALSE),1)))</f>
        <v>0</v>
      </c>
      <c r="Z18" s="1">
        <f>IF($B18&lt;&gt;"Ya",0,IFERROR(VLOOKUP($J18&amp;$K18,admin_prep!$T$2:$U$4,2,FALSE),0))</f>
        <v>0</v>
      </c>
    </row>
    <row r="19" spans="1:31" x14ac:dyDescent="0.3">
      <c r="A19" s="34">
        <v>16</v>
      </c>
      <c r="B19" s="4"/>
      <c r="C19" s="4"/>
      <c r="D19" s="6"/>
      <c r="E19" s="39"/>
      <c r="F19" s="5"/>
      <c r="G19" s="7"/>
      <c r="H19" s="4"/>
      <c r="I19" s="40"/>
      <c r="J19" s="4"/>
      <c r="K19" s="4"/>
      <c r="L19" s="2"/>
      <c r="M19" s="2"/>
      <c r="O19" s="1"/>
      <c r="P19" s="1"/>
      <c r="Q19" s="1">
        <f t="shared" si="1"/>
        <v>0</v>
      </c>
      <c r="R19" s="1"/>
      <c r="S19" s="1">
        <f t="shared" si="2"/>
        <v>0</v>
      </c>
      <c r="T19" s="1">
        <f t="shared" si="3"/>
        <v>0</v>
      </c>
      <c r="U19" s="1">
        <f t="shared" si="4"/>
        <v>0</v>
      </c>
      <c r="V19" s="1">
        <f t="shared" si="5"/>
        <v>0</v>
      </c>
      <c r="W19" s="1">
        <f>IF($B19&lt;&gt;"Ya",0,IF(I19="",1,IFERROR(VLOOKUP(MONTH(I19),admin_prep!$A$2:$C$13,3,FALSE),1)))</f>
        <v>0</v>
      </c>
      <c r="X19" s="1">
        <f>IF($B19&lt;&gt;"Ya",0,IF(J19="",1,IFERROR(VLOOKUP(J19,admin_prep!$I$2:$J$3,2,FALSE),1)))</f>
        <v>0</v>
      </c>
      <c r="Y19" s="1">
        <f>IF($B19&lt;&gt;"Ya",0,IF(K19="",1,IFERROR(VLOOKUP(K19,admin_prep!$G$2:$H$8,2,FALSE),1)))</f>
        <v>0</v>
      </c>
      <c r="Z19" s="1">
        <f>IF($B19&lt;&gt;"Ya",0,IFERROR(VLOOKUP($J19&amp;$K19,admin_prep!$T$2:$U$4,2,FALSE),0))</f>
        <v>0</v>
      </c>
    </row>
    <row r="20" spans="1:31" x14ac:dyDescent="0.3">
      <c r="A20" s="34">
        <v>17</v>
      </c>
      <c r="B20" s="4"/>
      <c r="C20" s="4"/>
      <c r="D20" s="6"/>
      <c r="E20" s="39"/>
      <c r="F20" s="5"/>
      <c r="G20" s="7"/>
      <c r="H20" s="4"/>
      <c r="I20" s="40"/>
      <c r="J20" s="4"/>
      <c r="K20" s="4"/>
      <c r="L20" s="2"/>
      <c r="M20" s="2"/>
      <c r="O20" s="1"/>
      <c r="P20" s="1"/>
      <c r="Q20" s="1">
        <f t="shared" si="1"/>
        <v>0</v>
      </c>
      <c r="R20" s="1"/>
      <c r="S20" s="1">
        <f t="shared" si="2"/>
        <v>0</v>
      </c>
      <c r="T20" s="1">
        <f t="shared" si="3"/>
        <v>0</v>
      </c>
      <c r="U20" s="1">
        <f t="shared" si="4"/>
        <v>0</v>
      </c>
      <c r="V20" s="1">
        <f t="shared" si="5"/>
        <v>0</v>
      </c>
      <c r="W20" s="1">
        <f>IF($B20&lt;&gt;"Ya",0,IF(I20="",1,IFERROR(VLOOKUP(MONTH(I20),admin_prep!$A$2:$C$13,3,FALSE),1)))</f>
        <v>0</v>
      </c>
      <c r="X20" s="1">
        <f>IF($B20&lt;&gt;"Ya",0,IF(J20="",1,IFERROR(VLOOKUP(J20,admin_prep!$I$2:$J$3,2,FALSE),1)))</f>
        <v>0</v>
      </c>
      <c r="Y20" s="1">
        <f>IF($B20&lt;&gt;"Ya",0,IF(K20="",1,IFERROR(VLOOKUP(K20,admin_prep!$G$2:$H$8,2,FALSE),1)))</f>
        <v>0</v>
      </c>
      <c r="Z20" s="1">
        <f>IF($B20&lt;&gt;"Ya",0,IFERROR(VLOOKUP($J20&amp;$K20,admin_prep!$T$2:$U$4,2,FALSE),0))</f>
        <v>0</v>
      </c>
    </row>
    <row r="21" spans="1:31" x14ac:dyDescent="0.3">
      <c r="A21" s="34">
        <v>18</v>
      </c>
      <c r="B21" s="4"/>
      <c r="C21" s="4"/>
      <c r="D21" s="6"/>
      <c r="E21" s="39"/>
      <c r="F21" s="5"/>
      <c r="G21" s="7"/>
      <c r="H21" s="4"/>
      <c r="I21" s="40"/>
      <c r="J21" s="4"/>
      <c r="K21" s="4"/>
      <c r="L21" s="2"/>
      <c r="M21" s="2"/>
      <c r="O21" s="1"/>
      <c r="P21" s="1"/>
      <c r="Q21" s="1">
        <f t="shared" si="1"/>
        <v>0</v>
      </c>
      <c r="R21" s="1"/>
      <c r="S21" s="1">
        <f t="shared" si="2"/>
        <v>0</v>
      </c>
      <c r="T21" s="1">
        <f t="shared" si="3"/>
        <v>0</v>
      </c>
      <c r="U21" s="1">
        <f t="shared" si="4"/>
        <v>0</v>
      </c>
      <c r="V21" s="1">
        <f t="shared" si="5"/>
        <v>0</v>
      </c>
      <c r="W21" s="1">
        <f>IF($B21&lt;&gt;"Ya",0,IF(I21="",1,IFERROR(VLOOKUP(MONTH(I21),admin_prep!$A$2:$C$13,3,FALSE),1)))</f>
        <v>0</v>
      </c>
      <c r="X21" s="1">
        <f>IF($B21&lt;&gt;"Ya",0,IF(J21="",1,IFERROR(VLOOKUP(J21,admin_prep!$I$2:$J$3,2,FALSE),1)))</f>
        <v>0</v>
      </c>
      <c r="Y21" s="1">
        <f>IF($B21&lt;&gt;"Ya",0,IF(K21="",1,IFERROR(VLOOKUP(K21,admin_prep!$G$2:$H$8,2,FALSE),1)))</f>
        <v>0</v>
      </c>
      <c r="Z21" s="1">
        <f>IF($B21&lt;&gt;"Ya",0,IFERROR(VLOOKUP($J21&amp;$K21,admin_prep!$T$2:$U$4,2,FALSE),0))</f>
        <v>0</v>
      </c>
    </row>
    <row r="22" spans="1:31" x14ac:dyDescent="0.3">
      <c r="A22" s="34">
        <v>19</v>
      </c>
      <c r="B22" s="4"/>
      <c r="C22" s="4"/>
      <c r="D22" s="6"/>
      <c r="E22" s="39"/>
      <c r="F22" s="5"/>
      <c r="G22" s="7"/>
      <c r="H22" s="4"/>
      <c r="I22" s="40"/>
      <c r="J22" s="4"/>
      <c r="K22" s="4"/>
      <c r="L22" s="2"/>
      <c r="M22" s="2"/>
      <c r="O22" s="1"/>
      <c r="P22" s="1"/>
      <c r="Q22" s="1">
        <f t="shared" si="1"/>
        <v>0</v>
      </c>
      <c r="R22" s="1"/>
      <c r="S22" s="1">
        <f t="shared" si="2"/>
        <v>0</v>
      </c>
      <c r="T22" s="1">
        <f t="shared" si="3"/>
        <v>0</v>
      </c>
      <c r="U22" s="1">
        <f t="shared" si="4"/>
        <v>0</v>
      </c>
      <c r="V22" s="1">
        <f t="shared" si="5"/>
        <v>0</v>
      </c>
      <c r="W22" s="1">
        <f>IF($B22&lt;&gt;"Ya",0,IF(I22="",1,IFERROR(VLOOKUP(MONTH(I22),admin_prep!$A$2:$C$13,3,FALSE),1)))</f>
        <v>0</v>
      </c>
      <c r="X22" s="1">
        <f>IF($B22&lt;&gt;"Ya",0,IF(J22="",1,IFERROR(VLOOKUP(J22,admin_prep!$I$2:$J$3,2,FALSE),1)))</f>
        <v>0</v>
      </c>
      <c r="Y22" s="1">
        <f>IF($B22&lt;&gt;"Ya",0,IF(K22="",1,IFERROR(VLOOKUP(K22,admin_prep!$G$2:$H$8,2,FALSE),1)))</f>
        <v>0</v>
      </c>
      <c r="Z22" s="1">
        <f>IF($B22&lt;&gt;"Ya",0,IFERROR(VLOOKUP($J22&amp;$K22,admin_prep!$T$2:$U$4,2,FALSE),0))</f>
        <v>0</v>
      </c>
    </row>
    <row r="23" spans="1:31" x14ac:dyDescent="0.3">
      <c r="A23" s="34">
        <v>20</v>
      </c>
      <c r="B23" s="4"/>
      <c r="C23" s="4"/>
      <c r="D23" s="6"/>
      <c r="E23" s="39"/>
      <c r="F23" s="5"/>
      <c r="G23" s="7"/>
      <c r="H23" s="4"/>
      <c r="I23" s="40"/>
      <c r="J23" s="4"/>
      <c r="K23" s="4"/>
      <c r="L23" s="2"/>
      <c r="M23" s="2"/>
      <c r="O23" s="1"/>
      <c r="P23" s="1"/>
      <c r="Q23" s="1">
        <f t="shared" si="1"/>
        <v>0</v>
      </c>
      <c r="R23" s="1"/>
      <c r="S23" s="1">
        <f t="shared" si="2"/>
        <v>0</v>
      </c>
      <c r="T23" s="1">
        <f t="shared" si="3"/>
        <v>0</v>
      </c>
      <c r="U23" s="1">
        <f t="shared" si="4"/>
        <v>0</v>
      </c>
      <c r="V23" s="1">
        <f t="shared" si="5"/>
        <v>0</v>
      </c>
      <c r="W23" s="1">
        <f>IF($B23&lt;&gt;"Ya",0,IF(I23="",1,IFERROR(VLOOKUP(MONTH(I23),admin_prep!$A$2:$C$13,3,FALSE),1)))</f>
        <v>0</v>
      </c>
      <c r="X23" s="1">
        <f>IF($B23&lt;&gt;"Ya",0,IF(J23="",1,IFERROR(VLOOKUP(J23,admin_prep!$I$2:$J$3,2,FALSE),1)))</f>
        <v>0</v>
      </c>
      <c r="Y23" s="1">
        <f>IF($B23&lt;&gt;"Ya",0,IF(K23="",1,IFERROR(VLOOKUP(K23,admin_prep!$G$2:$H$8,2,FALSE),1)))</f>
        <v>0</v>
      </c>
      <c r="Z23" s="1">
        <f>IF($B23&lt;&gt;"Ya",0,IFERROR(VLOOKUP($J23&amp;$K23,admin_prep!$T$2:$U$4,2,FALSE),0))</f>
        <v>0</v>
      </c>
    </row>
    <row r="24" spans="1:31" x14ac:dyDescent="0.3">
      <c r="O24" s="1"/>
      <c r="P24" s="1"/>
      <c r="Q24" s="1"/>
      <c r="R24" s="1"/>
      <c r="S24" s="1"/>
      <c r="T24" s="1"/>
      <c r="U24" s="1"/>
      <c r="V24" s="1"/>
      <c r="W24" s="1"/>
      <c r="X24" s="1"/>
      <c r="Y24" s="1"/>
      <c r="Z24" s="1"/>
      <c r="AA24" s="1"/>
      <c r="AB24" s="1"/>
      <c r="AC24" s="1"/>
      <c r="AD24" s="1"/>
      <c r="AE24" s="1"/>
    </row>
    <row r="25" spans="1:31" x14ac:dyDescent="0.3">
      <c r="O25" s="1"/>
      <c r="P25" s="1"/>
      <c r="Q25" s="1"/>
      <c r="R25" s="1"/>
      <c r="S25" s="1"/>
      <c r="T25" s="1"/>
      <c r="U25" s="1"/>
      <c r="V25" s="1"/>
      <c r="W25" s="1"/>
      <c r="X25" s="1"/>
      <c r="Y25" s="1"/>
      <c r="Z25" s="1"/>
      <c r="AA25" s="1"/>
      <c r="AB25" s="1"/>
      <c r="AC25" s="1"/>
      <c r="AD25" s="1"/>
      <c r="AE25" s="1"/>
    </row>
    <row r="26" spans="1:31" x14ac:dyDescent="0.3">
      <c r="O26" s="1"/>
      <c r="P26" s="1"/>
      <c r="Q26" s="1"/>
      <c r="R26" s="1"/>
      <c r="S26" s="1"/>
      <c r="T26" s="1"/>
      <c r="U26" s="1"/>
      <c r="V26" s="1"/>
      <c r="W26" s="1"/>
      <c r="X26" s="1"/>
      <c r="Y26" s="1"/>
      <c r="Z26" s="1"/>
      <c r="AA26" s="1"/>
      <c r="AB26" s="1"/>
      <c r="AC26" s="1"/>
      <c r="AD26" s="1"/>
      <c r="AE26" s="1"/>
    </row>
    <row r="27" spans="1:31" x14ac:dyDescent="0.3">
      <c r="O27" s="1"/>
      <c r="P27" s="1"/>
      <c r="Q27" s="1"/>
      <c r="R27" s="1"/>
      <c r="S27" s="1"/>
      <c r="T27" s="1"/>
      <c r="U27" s="1"/>
      <c r="V27" s="1"/>
      <c r="W27" s="1"/>
      <c r="X27" s="1"/>
      <c r="Y27" s="1"/>
      <c r="Z27" s="1"/>
      <c r="AA27" s="1"/>
      <c r="AB27" s="1"/>
      <c r="AC27" s="1"/>
      <c r="AD27" s="1"/>
      <c r="AE27" s="1"/>
    </row>
    <row r="28" spans="1:31" x14ac:dyDescent="0.3">
      <c r="O28" s="1"/>
      <c r="P28" s="1"/>
      <c r="Q28" s="1"/>
      <c r="R28" s="1"/>
      <c r="S28" s="1"/>
      <c r="T28" s="1"/>
      <c r="U28" s="1"/>
      <c r="V28" s="1"/>
      <c r="W28" s="1"/>
      <c r="X28" s="1"/>
      <c r="Y28" s="1"/>
      <c r="Z28" s="1"/>
      <c r="AA28" s="1"/>
      <c r="AB28" s="1"/>
      <c r="AC28" s="1"/>
      <c r="AD28" s="1"/>
      <c r="AE28" s="1"/>
    </row>
    <row r="29" spans="1:31" x14ac:dyDescent="0.3">
      <c r="O29" s="1"/>
      <c r="P29" s="1"/>
      <c r="Q29" s="1"/>
      <c r="R29" s="1"/>
      <c r="S29" s="1"/>
      <c r="T29" s="1"/>
      <c r="U29" s="1"/>
      <c r="V29" s="1"/>
      <c r="W29" s="1"/>
      <c r="X29" s="1"/>
      <c r="Y29" s="1"/>
      <c r="Z29" s="1"/>
      <c r="AA29" s="1"/>
      <c r="AB29" s="1"/>
      <c r="AC29" s="1"/>
      <c r="AD29" s="1"/>
      <c r="AE29" s="1"/>
    </row>
    <row r="30" spans="1:31" x14ac:dyDescent="0.3">
      <c r="O30" s="1"/>
      <c r="P30" s="1"/>
      <c r="Q30" s="1"/>
      <c r="R30" s="1"/>
      <c r="S30" s="1"/>
      <c r="T30" s="1"/>
      <c r="U30" s="1"/>
      <c r="V30" s="1"/>
      <c r="W30" s="1"/>
      <c r="X30" s="1"/>
      <c r="Y30" s="1"/>
      <c r="Z30" s="1"/>
      <c r="AA30" s="1"/>
      <c r="AB30" s="1"/>
      <c r="AC30" s="1"/>
      <c r="AD30" s="1"/>
      <c r="AE30" s="1"/>
    </row>
    <row r="31" spans="1:31" x14ac:dyDescent="0.3">
      <c r="O31" s="1"/>
      <c r="P31" s="1"/>
      <c r="Q31" s="1"/>
      <c r="R31" s="1"/>
      <c r="S31" s="1"/>
      <c r="T31" s="1"/>
      <c r="U31" s="1"/>
      <c r="V31" s="1"/>
      <c r="W31" s="1"/>
      <c r="X31" s="1"/>
      <c r="Y31" s="1"/>
      <c r="Z31" s="1"/>
      <c r="AA31" s="1"/>
      <c r="AB31" s="1"/>
      <c r="AC31" s="1"/>
      <c r="AD31" s="1"/>
      <c r="AE31" s="1"/>
    </row>
    <row r="32" spans="1:31" x14ac:dyDescent="0.3">
      <c r="O32" s="1"/>
      <c r="P32" s="1"/>
      <c r="Q32" s="1"/>
      <c r="R32" s="1"/>
      <c r="S32" s="1"/>
      <c r="T32" s="1"/>
      <c r="U32" s="1"/>
      <c r="V32" s="1"/>
      <c r="W32" s="1"/>
      <c r="X32" s="1"/>
      <c r="Y32" s="1"/>
      <c r="Z32" s="1"/>
      <c r="AA32" s="1"/>
      <c r="AB32" s="1"/>
      <c r="AC32" s="1"/>
      <c r="AD32" s="1"/>
      <c r="AE32" s="1"/>
    </row>
    <row r="33" spans="15:31" x14ac:dyDescent="0.3">
      <c r="O33" s="1"/>
      <c r="P33" s="1"/>
      <c r="Q33" s="1"/>
      <c r="R33" s="1"/>
      <c r="S33" s="1"/>
      <c r="T33" s="1"/>
      <c r="U33" s="1"/>
      <c r="V33" s="1"/>
      <c r="W33" s="1"/>
      <c r="X33" s="1"/>
      <c r="Y33" s="1"/>
      <c r="Z33" s="1"/>
      <c r="AA33" s="1"/>
      <c r="AB33" s="1"/>
      <c r="AC33" s="1"/>
      <c r="AD33" s="1"/>
      <c r="AE33" s="1"/>
    </row>
    <row r="34" spans="15:31" x14ac:dyDescent="0.3">
      <c r="O34" s="1"/>
      <c r="P34" s="1"/>
      <c r="Q34" s="1"/>
      <c r="R34" s="1"/>
      <c r="S34" s="1"/>
      <c r="T34" s="1"/>
      <c r="U34" s="1"/>
      <c r="V34" s="1"/>
      <c r="W34" s="1"/>
      <c r="X34" s="1"/>
      <c r="Y34" s="1"/>
      <c r="Z34" s="1"/>
      <c r="AA34" s="1"/>
      <c r="AB34" s="1"/>
      <c r="AC34" s="1"/>
      <c r="AD34" s="1"/>
      <c r="AE34" s="1"/>
    </row>
    <row r="35" spans="15:31" x14ac:dyDescent="0.3">
      <c r="O35" s="1"/>
      <c r="P35" s="1"/>
      <c r="Q35" s="1"/>
      <c r="R35" s="1"/>
      <c r="S35" s="1"/>
      <c r="T35" s="1"/>
      <c r="U35" s="1"/>
      <c r="V35" s="1"/>
      <c r="W35" s="1"/>
      <c r="X35" s="1"/>
      <c r="Y35" s="1"/>
      <c r="Z35" s="1"/>
      <c r="AA35" s="1"/>
      <c r="AB35" s="1"/>
      <c r="AC35" s="1"/>
      <c r="AD35" s="1"/>
      <c r="AE35" s="1"/>
    </row>
    <row r="36" spans="15:31" x14ac:dyDescent="0.3">
      <c r="O36" s="1"/>
      <c r="P36" s="1"/>
      <c r="Q36" s="1"/>
      <c r="R36" s="1"/>
      <c r="S36" s="1"/>
      <c r="T36" s="1"/>
      <c r="U36" s="1"/>
      <c r="V36" s="1"/>
      <c r="W36" s="1"/>
      <c r="X36" s="1"/>
      <c r="Y36" s="1"/>
      <c r="Z36" s="1"/>
      <c r="AA36" s="1"/>
      <c r="AB36" s="1"/>
      <c r="AC36" s="1"/>
      <c r="AD36" s="1"/>
      <c r="AE36" s="1"/>
    </row>
    <row r="37" spans="15:31" x14ac:dyDescent="0.3">
      <c r="O37" s="1"/>
      <c r="P37" s="1"/>
      <c r="Q37" s="1"/>
      <c r="R37" s="1"/>
      <c r="S37" s="1"/>
      <c r="T37" s="1"/>
      <c r="U37" s="1"/>
      <c r="V37" s="1"/>
      <c r="W37" s="1"/>
      <c r="X37" s="1"/>
      <c r="Y37" s="1"/>
      <c r="Z37" s="1"/>
      <c r="AA37" s="1"/>
      <c r="AB37" s="1"/>
      <c r="AC37" s="1"/>
      <c r="AD37" s="1"/>
      <c r="AE37" s="1"/>
    </row>
    <row r="38" spans="15:31" x14ac:dyDescent="0.3">
      <c r="O38" s="1"/>
      <c r="P38" s="1"/>
      <c r="Q38" s="1"/>
      <c r="R38" s="1"/>
      <c r="S38" s="1"/>
      <c r="T38" s="1"/>
      <c r="U38" s="1"/>
      <c r="V38" s="1"/>
      <c r="W38" s="1"/>
      <c r="X38" s="1"/>
      <c r="Y38" s="1"/>
      <c r="Z38" s="1"/>
      <c r="AA38" s="1"/>
      <c r="AB38" s="1"/>
      <c r="AC38" s="1"/>
      <c r="AD38" s="1"/>
      <c r="AE38" s="1"/>
    </row>
    <row r="39" spans="15:31" x14ac:dyDescent="0.3">
      <c r="O39" s="1"/>
      <c r="P39" s="1"/>
      <c r="Q39" s="1"/>
      <c r="R39" s="1"/>
      <c r="S39" s="1"/>
      <c r="T39" s="1"/>
      <c r="U39" s="1"/>
      <c r="V39" s="1"/>
      <c r="W39" s="1"/>
      <c r="X39" s="1"/>
      <c r="Y39" s="1"/>
      <c r="Z39" s="1"/>
      <c r="AA39" s="1"/>
      <c r="AB39" s="1"/>
      <c r="AC39" s="1"/>
      <c r="AD39" s="1"/>
      <c r="AE39" s="1"/>
    </row>
    <row r="40" spans="15:31" x14ac:dyDescent="0.3">
      <c r="O40" s="1"/>
      <c r="P40" s="1"/>
      <c r="Q40" s="1"/>
      <c r="R40" s="1"/>
      <c r="S40" s="1"/>
      <c r="T40" s="1"/>
      <c r="U40" s="1"/>
      <c r="V40" s="1"/>
      <c r="W40" s="1"/>
      <c r="X40" s="1"/>
      <c r="Y40" s="1"/>
      <c r="Z40" s="1"/>
      <c r="AA40" s="1"/>
      <c r="AB40" s="1"/>
      <c r="AC40" s="1"/>
      <c r="AD40" s="1"/>
      <c r="AE40" s="1"/>
    </row>
    <row r="41" spans="15:31" x14ac:dyDescent="0.3">
      <c r="O41" s="1"/>
      <c r="P41" s="1"/>
      <c r="Q41" s="1"/>
      <c r="R41" s="1"/>
      <c r="S41" s="1"/>
      <c r="T41" s="1"/>
      <c r="U41" s="1"/>
      <c r="V41" s="1"/>
      <c r="W41" s="1"/>
      <c r="X41" s="1"/>
      <c r="Y41" s="1"/>
      <c r="Z41" s="1"/>
      <c r="AA41" s="1"/>
      <c r="AB41" s="1"/>
      <c r="AC41" s="1"/>
      <c r="AD41" s="1"/>
      <c r="AE41" s="1"/>
    </row>
    <row r="42" spans="15:31" x14ac:dyDescent="0.3">
      <c r="O42" s="1"/>
      <c r="P42" s="1"/>
      <c r="Q42" s="1"/>
      <c r="R42" s="1"/>
      <c r="S42" s="1"/>
      <c r="T42" s="1"/>
      <c r="U42" s="1"/>
      <c r="V42" s="1"/>
      <c r="W42" s="1"/>
      <c r="X42" s="1"/>
      <c r="Y42" s="1"/>
      <c r="Z42" s="1"/>
      <c r="AA42" s="1"/>
      <c r="AB42" s="1"/>
      <c r="AC42" s="1"/>
      <c r="AD42" s="1"/>
      <c r="AE42" s="1"/>
    </row>
    <row r="43" spans="15:31" x14ac:dyDescent="0.3">
      <c r="O43" s="1"/>
      <c r="P43" s="1"/>
      <c r="Q43" s="1"/>
      <c r="R43" s="1"/>
      <c r="S43" s="1"/>
      <c r="T43" s="1"/>
      <c r="U43" s="1"/>
      <c r="V43" s="1"/>
      <c r="W43" s="1"/>
      <c r="X43" s="1"/>
      <c r="Y43" s="1"/>
      <c r="Z43" s="1"/>
      <c r="AA43" s="1"/>
      <c r="AB43" s="1"/>
      <c r="AC43" s="1"/>
      <c r="AD43" s="1"/>
      <c r="AE43" s="1"/>
    </row>
    <row r="44" spans="15:31" x14ac:dyDescent="0.3">
      <c r="O44" s="1"/>
      <c r="P44" s="1"/>
      <c r="Q44" s="1"/>
      <c r="R44" s="1"/>
      <c r="S44" s="1"/>
      <c r="T44" s="1"/>
      <c r="U44" s="1"/>
      <c r="V44" s="1"/>
      <c r="W44" s="1"/>
      <c r="X44" s="1"/>
      <c r="Y44" s="1"/>
      <c r="Z44" s="1"/>
      <c r="AA44" s="1"/>
      <c r="AB44" s="1"/>
      <c r="AC44" s="1"/>
      <c r="AD44" s="1"/>
      <c r="AE44" s="1"/>
    </row>
    <row r="45" spans="15:31" x14ac:dyDescent="0.3">
      <c r="O45" s="1"/>
      <c r="P45" s="1"/>
      <c r="Q45" s="1"/>
      <c r="R45" s="1"/>
      <c r="S45" s="1"/>
      <c r="T45" s="1"/>
      <c r="U45" s="1"/>
      <c r="V45" s="1"/>
      <c r="W45" s="1"/>
      <c r="X45" s="1"/>
      <c r="Y45" s="1"/>
      <c r="Z45" s="1"/>
      <c r="AA45" s="1"/>
      <c r="AB45" s="1"/>
      <c r="AC45" s="1"/>
      <c r="AD45" s="1"/>
      <c r="AE45" s="1"/>
    </row>
    <row r="46" spans="15:31" x14ac:dyDescent="0.3">
      <c r="O46" s="1"/>
      <c r="P46" s="1"/>
      <c r="Q46" s="1"/>
      <c r="R46" s="1"/>
      <c r="S46" s="1"/>
      <c r="T46" s="1"/>
      <c r="U46" s="1"/>
      <c r="V46" s="1"/>
      <c r="W46" s="1"/>
      <c r="X46" s="1"/>
      <c r="Y46" s="1"/>
      <c r="Z46" s="1"/>
      <c r="AA46" s="1"/>
      <c r="AB46" s="1"/>
      <c r="AC46" s="1"/>
      <c r="AD46" s="1"/>
      <c r="AE46" s="1"/>
    </row>
    <row r="47" spans="15:31" x14ac:dyDescent="0.3">
      <c r="O47" s="1"/>
      <c r="P47" s="1"/>
      <c r="Q47" s="1"/>
      <c r="R47" s="1"/>
      <c r="S47" s="1"/>
      <c r="T47" s="1"/>
      <c r="U47" s="1"/>
      <c r="V47" s="1"/>
      <c r="W47" s="1"/>
      <c r="X47" s="1"/>
      <c r="Y47" s="1"/>
      <c r="Z47" s="1"/>
      <c r="AA47" s="1"/>
      <c r="AB47" s="1"/>
      <c r="AC47" s="1"/>
      <c r="AD47" s="1"/>
      <c r="AE47" s="1"/>
    </row>
    <row r="48" spans="15:31" x14ac:dyDescent="0.3">
      <c r="O48" s="1"/>
      <c r="P48" s="1"/>
      <c r="Q48" s="1"/>
      <c r="R48" s="1"/>
      <c r="S48" s="1"/>
      <c r="T48" s="1"/>
      <c r="U48" s="1"/>
      <c r="V48" s="1"/>
      <c r="W48" s="1"/>
      <c r="X48" s="1"/>
      <c r="Y48" s="1"/>
      <c r="Z48" s="1"/>
      <c r="AA48" s="1"/>
      <c r="AB48" s="1"/>
      <c r="AC48" s="1"/>
      <c r="AD48" s="1"/>
      <c r="AE48" s="1"/>
    </row>
    <row r="49" spans="15:31" x14ac:dyDescent="0.3">
      <c r="O49" s="1"/>
      <c r="P49" s="1"/>
      <c r="Q49" s="1"/>
      <c r="R49" s="1"/>
      <c r="S49" s="1"/>
      <c r="T49" s="1"/>
      <c r="U49" s="1"/>
      <c r="V49" s="1"/>
      <c r="W49" s="1"/>
      <c r="X49" s="1"/>
      <c r="Y49" s="1"/>
      <c r="Z49" s="1"/>
      <c r="AA49" s="1"/>
      <c r="AB49" s="1"/>
      <c r="AC49" s="1"/>
      <c r="AD49" s="1"/>
      <c r="AE49" s="1"/>
    </row>
    <row r="50" spans="15:31" x14ac:dyDescent="0.3">
      <c r="O50" s="1"/>
      <c r="P50" s="1"/>
      <c r="Q50" s="1"/>
      <c r="R50" s="1"/>
      <c r="S50" s="1"/>
      <c r="T50" s="1"/>
      <c r="U50" s="1"/>
      <c r="V50" s="1"/>
      <c r="W50" s="1"/>
      <c r="X50" s="1"/>
      <c r="Y50" s="1"/>
      <c r="Z50" s="1"/>
      <c r="AA50" s="1"/>
      <c r="AB50" s="1"/>
      <c r="AC50" s="1"/>
      <c r="AD50" s="1"/>
      <c r="AE50" s="1"/>
    </row>
    <row r="51" spans="15:31" x14ac:dyDescent="0.3">
      <c r="O51" s="1"/>
      <c r="P51" s="1"/>
      <c r="Q51" s="1"/>
      <c r="R51" s="1"/>
      <c r="S51" s="1"/>
      <c r="T51" s="1"/>
      <c r="U51" s="1"/>
      <c r="V51" s="1"/>
      <c r="W51" s="1"/>
      <c r="X51" s="1"/>
      <c r="Y51" s="1"/>
      <c r="Z51" s="1"/>
      <c r="AA51" s="1"/>
      <c r="AB51" s="1"/>
      <c r="AC51" s="1"/>
      <c r="AD51" s="1"/>
      <c r="AE51" s="1"/>
    </row>
    <row r="52" spans="15:31" x14ac:dyDescent="0.3">
      <c r="O52" s="1"/>
      <c r="P52" s="1"/>
      <c r="Q52" s="1"/>
      <c r="R52" s="1"/>
      <c r="S52" s="1"/>
      <c r="T52" s="1"/>
      <c r="U52" s="1"/>
      <c r="V52" s="1"/>
      <c r="W52" s="1"/>
      <c r="X52" s="1"/>
      <c r="Y52" s="1"/>
      <c r="Z52" s="1"/>
      <c r="AA52" s="1"/>
      <c r="AB52" s="1"/>
      <c r="AC52" s="1"/>
      <c r="AD52" s="1"/>
      <c r="AE52" s="1"/>
    </row>
    <row r="53" spans="15:31" x14ac:dyDescent="0.3">
      <c r="O53" s="1"/>
      <c r="P53" s="1"/>
      <c r="Q53" s="1"/>
      <c r="R53" s="1"/>
      <c r="S53" s="1"/>
      <c r="T53" s="1"/>
      <c r="U53" s="1"/>
      <c r="V53" s="1"/>
      <c r="W53" s="1"/>
      <c r="X53" s="1"/>
      <c r="Y53" s="1"/>
      <c r="Z53" s="1"/>
      <c r="AA53" s="1"/>
      <c r="AB53" s="1"/>
      <c r="AC53" s="1"/>
      <c r="AD53" s="1"/>
      <c r="AE53" s="1"/>
    </row>
    <row r="54" spans="15:31" x14ac:dyDescent="0.3">
      <c r="O54" s="1"/>
      <c r="P54" s="1"/>
      <c r="Q54" s="1"/>
      <c r="R54" s="1"/>
      <c r="S54" s="1"/>
      <c r="T54" s="1"/>
      <c r="U54" s="1"/>
      <c r="V54" s="1"/>
      <c r="W54" s="1"/>
      <c r="X54" s="1"/>
      <c r="Y54" s="1"/>
      <c r="Z54" s="1"/>
      <c r="AA54" s="1"/>
      <c r="AB54" s="1"/>
      <c r="AC54" s="1"/>
      <c r="AD54" s="1"/>
      <c r="AE54" s="1"/>
    </row>
    <row r="55" spans="15:31" x14ac:dyDescent="0.3">
      <c r="O55" s="1"/>
      <c r="P55" s="1"/>
      <c r="Q55" s="1"/>
      <c r="R55" s="1"/>
      <c r="S55" s="1"/>
      <c r="T55" s="1"/>
      <c r="U55" s="1"/>
      <c r="V55" s="1"/>
      <c r="W55" s="1"/>
      <c r="X55" s="1"/>
      <c r="Y55" s="1"/>
      <c r="Z55" s="1"/>
      <c r="AA55" s="1"/>
      <c r="AB55" s="1"/>
      <c r="AC55" s="1"/>
      <c r="AD55" s="1"/>
      <c r="AE55" s="1"/>
    </row>
    <row r="56" spans="15:31" x14ac:dyDescent="0.3">
      <c r="O56" s="1"/>
      <c r="P56" s="1"/>
      <c r="Q56" s="1"/>
      <c r="R56" s="1"/>
      <c r="S56" s="1"/>
      <c r="T56" s="1"/>
      <c r="U56" s="1"/>
      <c r="V56" s="1"/>
      <c r="W56" s="1"/>
      <c r="X56" s="1"/>
      <c r="Y56" s="1"/>
      <c r="Z56" s="1"/>
      <c r="AA56" s="1"/>
      <c r="AB56" s="1"/>
      <c r="AC56" s="1"/>
      <c r="AD56" s="1"/>
      <c r="AE56" s="1"/>
    </row>
    <row r="57" spans="15:31" x14ac:dyDescent="0.3">
      <c r="O57" s="1"/>
      <c r="P57" s="1"/>
      <c r="Q57" s="1"/>
      <c r="R57" s="1"/>
      <c r="S57" s="1"/>
      <c r="T57" s="1"/>
      <c r="U57" s="1"/>
      <c r="V57" s="1"/>
      <c r="W57" s="1"/>
      <c r="X57" s="1"/>
      <c r="Y57" s="1"/>
      <c r="Z57" s="1"/>
      <c r="AA57" s="1"/>
      <c r="AB57" s="1"/>
      <c r="AC57" s="1"/>
      <c r="AD57" s="1"/>
      <c r="AE57" s="1"/>
    </row>
    <row r="58" spans="15:31" x14ac:dyDescent="0.3">
      <c r="O58" s="1"/>
      <c r="P58" s="1"/>
      <c r="Q58" s="1"/>
      <c r="R58" s="1"/>
      <c r="S58" s="1"/>
      <c r="T58" s="1"/>
      <c r="U58" s="1"/>
      <c r="V58" s="1"/>
      <c r="W58" s="1"/>
      <c r="X58" s="1"/>
      <c r="Y58" s="1"/>
      <c r="Z58" s="1"/>
      <c r="AA58" s="1"/>
      <c r="AB58" s="1"/>
      <c r="AC58" s="1"/>
      <c r="AD58" s="1"/>
      <c r="AE58" s="1"/>
    </row>
    <row r="59" spans="15:31" x14ac:dyDescent="0.3">
      <c r="O59" s="1"/>
      <c r="P59" s="1"/>
      <c r="Q59" s="1"/>
      <c r="R59" s="1"/>
      <c r="S59" s="1"/>
      <c r="T59" s="1"/>
      <c r="U59" s="1"/>
      <c r="V59" s="1"/>
      <c r="W59" s="1"/>
      <c r="X59" s="1"/>
      <c r="Y59" s="1"/>
      <c r="Z59" s="1"/>
      <c r="AA59" s="1"/>
      <c r="AB59" s="1"/>
      <c r="AC59" s="1"/>
      <c r="AD59" s="1"/>
      <c r="AE59" s="1"/>
    </row>
    <row r="60" spans="15:31" x14ac:dyDescent="0.3">
      <c r="O60" s="1"/>
      <c r="P60" s="1"/>
      <c r="Q60" s="1"/>
      <c r="R60" s="1"/>
      <c r="S60" s="1"/>
      <c r="T60" s="1"/>
      <c r="U60" s="1"/>
      <c r="V60" s="1"/>
      <c r="W60" s="1"/>
      <c r="X60" s="1"/>
      <c r="Y60" s="1"/>
      <c r="Z60" s="1"/>
      <c r="AA60" s="1"/>
      <c r="AB60" s="1"/>
      <c r="AC60" s="1"/>
      <c r="AD60" s="1"/>
      <c r="AE60" s="1"/>
    </row>
    <row r="61" spans="15:31" x14ac:dyDescent="0.3">
      <c r="O61" s="1"/>
      <c r="P61" s="1"/>
      <c r="Q61" s="1"/>
      <c r="R61" s="1"/>
      <c r="S61" s="1"/>
      <c r="T61" s="1"/>
      <c r="U61" s="1"/>
      <c r="V61" s="1"/>
      <c r="W61" s="1"/>
      <c r="X61" s="1"/>
      <c r="Y61" s="1"/>
      <c r="Z61" s="1"/>
      <c r="AA61" s="1"/>
      <c r="AB61" s="1"/>
      <c r="AC61" s="1"/>
      <c r="AD61" s="1"/>
      <c r="AE61" s="1"/>
    </row>
    <row r="62" spans="15:31" x14ac:dyDescent="0.3">
      <c r="O62" s="1"/>
      <c r="P62" s="1"/>
      <c r="Q62" s="1"/>
      <c r="R62" s="1"/>
      <c r="S62" s="1"/>
      <c r="T62" s="1"/>
      <c r="U62" s="1"/>
      <c r="V62" s="1"/>
      <c r="W62" s="1"/>
      <c r="X62" s="1"/>
      <c r="Y62" s="1"/>
      <c r="Z62" s="1"/>
      <c r="AA62" s="1"/>
      <c r="AB62" s="1"/>
      <c r="AC62" s="1"/>
      <c r="AD62" s="1"/>
      <c r="AE62" s="1"/>
    </row>
    <row r="63" spans="15:31" x14ac:dyDescent="0.3">
      <c r="O63" s="1"/>
      <c r="P63" s="1"/>
      <c r="Q63" s="1"/>
      <c r="R63" s="1"/>
      <c r="S63" s="1"/>
      <c r="T63" s="1"/>
      <c r="U63" s="1"/>
      <c r="V63" s="1"/>
      <c r="W63" s="1"/>
      <c r="X63" s="1"/>
      <c r="Y63" s="1"/>
      <c r="Z63" s="1"/>
      <c r="AA63" s="1"/>
      <c r="AB63" s="1"/>
      <c r="AC63" s="1"/>
      <c r="AD63" s="1"/>
      <c r="AE63" s="1"/>
    </row>
    <row r="64" spans="15:31" x14ac:dyDescent="0.3">
      <c r="O64" s="1"/>
      <c r="P64" s="1"/>
      <c r="Q64" s="1"/>
      <c r="R64" s="1"/>
      <c r="S64" s="1"/>
      <c r="T64" s="1"/>
      <c r="U64" s="1"/>
      <c r="V64" s="1"/>
      <c r="W64" s="1"/>
      <c r="X64" s="1"/>
      <c r="Y64" s="1"/>
      <c r="Z64" s="1"/>
      <c r="AA64" s="1"/>
      <c r="AB64" s="1"/>
      <c r="AC64" s="1"/>
      <c r="AD64" s="1"/>
      <c r="AE64" s="1"/>
    </row>
    <row r="65" spans="15:31" x14ac:dyDescent="0.3">
      <c r="O65" s="1"/>
      <c r="P65" s="1"/>
      <c r="Q65" s="1"/>
      <c r="R65" s="1"/>
      <c r="S65" s="1"/>
      <c r="T65" s="1"/>
      <c r="U65" s="1"/>
      <c r="V65" s="1"/>
      <c r="W65" s="1"/>
      <c r="X65" s="1"/>
      <c r="Y65" s="1"/>
      <c r="Z65" s="1"/>
      <c r="AA65" s="1"/>
      <c r="AB65" s="1"/>
      <c r="AC65" s="1"/>
      <c r="AD65" s="1"/>
      <c r="AE65" s="1"/>
    </row>
    <row r="66" spans="15:31" x14ac:dyDescent="0.3">
      <c r="O66" s="1"/>
      <c r="P66" s="1"/>
      <c r="Q66" s="1"/>
      <c r="R66" s="1"/>
      <c r="S66" s="1"/>
      <c r="T66" s="1"/>
      <c r="U66" s="1"/>
      <c r="V66" s="1"/>
      <c r="W66" s="1"/>
      <c r="X66" s="1"/>
      <c r="Y66" s="1"/>
      <c r="Z66" s="1"/>
      <c r="AA66" s="1"/>
      <c r="AB66" s="1"/>
      <c r="AC66" s="1"/>
      <c r="AD66" s="1"/>
      <c r="AE66" s="1"/>
    </row>
    <row r="67" spans="15:31" x14ac:dyDescent="0.3">
      <c r="O67" s="1"/>
      <c r="P67" s="1"/>
      <c r="Q67" s="1"/>
      <c r="R67" s="1"/>
      <c r="S67" s="1"/>
      <c r="T67" s="1"/>
      <c r="U67" s="1"/>
      <c r="V67" s="1"/>
      <c r="W67" s="1"/>
      <c r="X67" s="1"/>
      <c r="Y67" s="1"/>
      <c r="Z67" s="1"/>
      <c r="AA67" s="1"/>
      <c r="AB67" s="1"/>
      <c r="AC67" s="1"/>
      <c r="AD67" s="1"/>
      <c r="AE67" s="1"/>
    </row>
    <row r="68" spans="15:31" x14ac:dyDescent="0.3">
      <c r="O68" s="1"/>
      <c r="P68" s="1"/>
      <c r="Q68" s="1"/>
      <c r="R68" s="1"/>
      <c r="S68" s="1"/>
      <c r="T68" s="1"/>
      <c r="U68" s="1"/>
      <c r="V68" s="1"/>
      <c r="W68" s="1"/>
      <c r="X68" s="1"/>
      <c r="Y68" s="1"/>
      <c r="Z68" s="1"/>
      <c r="AA68" s="1"/>
      <c r="AB68" s="1"/>
      <c r="AC68" s="1"/>
      <c r="AD68" s="1"/>
      <c r="AE68" s="1"/>
    </row>
    <row r="69" spans="15:31" x14ac:dyDescent="0.3">
      <c r="O69" s="1"/>
      <c r="P69" s="1"/>
      <c r="Q69" s="1"/>
      <c r="R69" s="1"/>
      <c r="S69" s="1"/>
      <c r="T69" s="1"/>
      <c r="U69" s="1"/>
      <c r="V69" s="1"/>
      <c r="W69" s="1"/>
      <c r="X69" s="1"/>
      <c r="Y69" s="1"/>
      <c r="Z69" s="1"/>
      <c r="AA69" s="1"/>
      <c r="AB69" s="1"/>
      <c r="AC69" s="1"/>
      <c r="AD69" s="1"/>
      <c r="AE69" s="1"/>
    </row>
    <row r="70" spans="15:31" x14ac:dyDescent="0.3">
      <c r="O70" s="1"/>
      <c r="P70" s="1"/>
      <c r="Q70" s="1"/>
      <c r="R70" s="1"/>
      <c r="S70" s="1"/>
      <c r="T70" s="1"/>
      <c r="U70" s="1"/>
      <c r="V70" s="1"/>
      <c r="W70" s="1"/>
      <c r="X70" s="1"/>
      <c r="Y70" s="1"/>
      <c r="Z70" s="1"/>
      <c r="AA70" s="1"/>
      <c r="AB70" s="1"/>
      <c r="AC70" s="1"/>
      <c r="AD70" s="1"/>
      <c r="AE70" s="1"/>
    </row>
    <row r="71" spans="15:31" x14ac:dyDescent="0.3">
      <c r="O71" s="1"/>
      <c r="P71" s="1"/>
      <c r="Q71" s="1"/>
      <c r="R71" s="1"/>
      <c r="S71" s="1"/>
      <c r="T71" s="1"/>
      <c r="U71" s="1"/>
      <c r="V71" s="1"/>
      <c r="W71" s="1"/>
      <c r="X71" s="1"/>
      <c r="Y71" s="1"/>
      <c r="Z71" s="1"/>
      <c r="AA71" s="1"/>
      <c r="AB71" s="1"/>
      <c r="AC71" s="1"/>
      <c r="AD71" s="1"/>
      <c r="AE71" s="1"/>
    </row>
    <row r="72" spans="15:31" x14ac:dyDescent="0.3">
      <c r="O72" s="1"/>
      <c r="P72" s="1"/>
      <c r="Q72" s="1"/>
      <c r="R72" s="1"/>
      <c r="S72" s="1"/>
      <c r="T72" s="1"/>
      <c r="U72" s="1"/>
      <c r="V72" s="1"/>
      <c r="W72" s="1"/>
      <c r="X72" s="1"/>
      <c r="Y72" s="1"/>
      <c r="Z72" s="1"/>
      <c r="AA72" s="1"/>
      <c r="AB72" s="1"/>
      <c r="AC72" s="1"/>
      <c r="AD72" s="1"/>
      <c r="AE72" s="1"/>
    </row>
    <row r="73" spans="15:31" x14ac:dyDescent="0.3">
      <c r="O73" s="1"/>
      <c r="P73" s="1"/>
      <c r="Q73" s="1"/>
      <c r="R73" s="1"/>
      <c r="S73" s="1"/>
      <c r="T73" s="1"/>
      <c r="U73" s="1"/>
      <c r="V73" s="1"/>
      <c r="W73" s="1"/>
      <c r="X73" s="1"/>
      <c r="Y73" s="1"/>
      <c r="Z73" s="1"/>
      <c r="AA73" s="1"/>
      <c r="AB73" s="1"/>
      <c r="AC73" s="1"/>
      <c r="AD73" s="1"/>
      <c r="AE73" s="1"/>
    </row>
    <row r="74" spans="15:31" x14ac:dyDescent="0.3">
      <c r="O74" s="1"/>
      <c r="P74" s="1"/>
      <c r="Q74" s="1"/>
      <c r="R74" s="1"/>
      <c r="S74" s="1"/>
      <c r="T74" s="1"/>
      <c r="U74" s="1"/>
      <c r="V74" s="1"/>
      <c r="W74" s="1"/>
      <c r="X74" s="1"/>
      <c r="Y74" s="1"/>
      <c r="Z74" s="1"/>
      <c r="AA74" s="1"/>
      <c r="AB74" s="1"/>
      <c r="AC74" s="1"/>
      <c r="AD74" s="1"/>
      <c r="AE74" s="1"/>
    </row>
    <row r="75" spans="15:31" x14ac:dyDescent="0.3">
      <c r="O75" s="1"/>
      <c r="P75" s="1"/>
      <c r="Q75" s="1"/>
      <c r="R75" s="1"/>
      <c r="S75" s="1"/>
      <c r="T75" s="1"/>
      <c r="U75" s="1"/>
      <c r="V75" s="1"/>
      <c r="W75" s="1"/>
      <c r="X75" s="1"/>
      <c r="Y75" s="1"/>
      <c r="Z75" s="1"/>
      <c r="AA75" s="1"/>
      <c r="AB75" s="1"/>
      <c r="AC75" s="1"/>
      <c r="AD75" s="1"/>
      <c r="AE75" s="1"/>
    </row>
    <row r="76" spans="15:31" x14ac:dyDescent="0.3">
      <c r="O76" s="1"/>
      <c r="P76" s="1"/>
      <c r="Q76" s="1"/>
      <c r="R76" s="1"/>
      <c r="S76" s="1"/>
      <c r="T76" s="1"/>
      <c r="U76" s="1"/>
      <c r="V76" s="1"/>
      <c r="W76" s="1"/>
      <c r="X76" s="1"/>
      <c r="Y76" s="1"/>
      <c r="Z76" s="1"/>
      <c r="AA76" s="1"/>
      <c r="AB76" s="1"/>
      <c r="AC76" s="1"/>
      <c r="AD76" s="1"/>
      <c r="AE76" s="1"/>
    </row>
    <row r="77" spans="15:31" x14ac:dyDescent="0.3">
      <c r="O77" s="1"/>
      <c r="P77" s="1"/>
      <c r="Q77" s="1"/>
      <c r="R77" s="1"/>
      <c r="S77" s="1"/>
      <c r="T77" s="1"/>
      <c r="U77" s="1"/>
      <c r="V77" s="1"/>
      <c r="W77" s="1"/>
      <c r="X77" s="1"/>
      <c r="Y77" s="1"/>
      <c r="Z77" s="1"/>
      <c r="AA77" s="1"/>
      <c r="AB77" s="1"/>
      <c r="AC77" s="1"/>
      <c r="AD77" s="1"/>
      <c r="AE77" s="1"/>
    </row>
    <row r="78" spans="15:31" x14ac:dyDescent="0.3">
      <c r="O78" s="1"/>
      <c r="P78" s="1"/>
      <c r="Q78" s="1"/>
      <c r="R78" s="1"/>
      <c r="S78" s="1"/>
      <c r="T78" s="1"/>
      <c r="U78" s="1"/>
      <c r="V78" s="1"/>
      <c r="W78" s="1"/>
      <c r="X78" s="1"/>
      <c r="Y78" s="1"/>
      <c r="Z78" s="1"/>
      <c r="AA78" s="1"/>
      <c r="AB78" s="1"/>
      <c r="AC78" s="1"/>
      <c r="AD78" s="1"/>
      <c r="AE78" s="1"/>
    </row>
    <row r="79" spans="15:31" x14ac:dyDescent="0.3">
      <c r="O79" s="1"/>
      <c r="P79" s="1"/>
      <c r="Q79" s="1"/>
      <c r="R79" s="1"/>
      <c r="S79" s="1"/>
      <c r="T79" s="1"/>
      <c r="U79" s="1"/>
      <c r="V79" s="1"/>
      <c r="W79" s="1"/>
      <c r="X79" s="1"/>
      <c r="Y79" s="1"/>
      <c r="Z79" s="1"/>
      <c r="AA79" s="1"/>
      <c r="AB79" s="1"/>
      <c r="AC79" s="1"/>
      <c r="AD79" s="1"/>
      <c r="AE79" s="1"/>
    </row>
    <row r="80" spans="15:31" x14ac:dyDescent="0.3">
      <c r="O80" s="1"/>
      <c r="P80" s="1"/>
      <c r="Q80" s="1"/>
      <c r="R80" s="1"/>
      <c r="S80" s="1"/>
      <c r="T80" s="1"/>
      <c r="U80" s="1"/>
      <c r="V80" s="1"/>
      <c r="W80" s="1"/>
      <c r="X80" s="1"/>
      <c r="Y80" s="1"/>
      <c r="Z80" s="1"/>
      <c r="AA80" s="1"/>
      <c r="AB80" s="1"/>
      <c r="AC80" s="1"/>
      <c r="AD80" s="1"/>
      <c r="AE80" s="1"/>
    </row>
    <row r="81" spans="15:31" x14ac:dyDescent="0.3">
      <c r="O81" s="1"/>
      <c r="P81" s="1"/>
      <c r="Q81" s="1"/>
      <c r="R81" s="1"/>
      <c r="S81" s="1"/>
      <c r="T81" s="1"/>
      <c r="U81" s="1"/>
      <c r="V81" s="1"/>
      <c r="W81" s="1"/>
      <c r="X81" s="1"/>
      <c r="Y81" s="1"/>
      <c r="Z81" s="1"/>
      <c r="AA81" s="1"/>
      <c r="AB81" s="1"/>
      <c r="AC81" s="1"/>
      <c r="AD81" s="1"/>
      <c r="AE81" s="1"/>
    </row>
    <row r="82" spans="15:31" x14ac:dyDescent="0.3">
      <c r="O82" s="1"/>
      <c r="P82" s="1"/>
      <c r="Q82" s="1"/>
      <c r="R82" s="1"/>
      <c r="S82" s="1"/>
      <c r="T82" s="1"/>
      <c r="U82" s="1"/>
      <c r="V82" s="1"/>
      <c r="W82" s="1"/>
      <c r="X82" s="1"/>
      <c r="Y82" s="1"/>
      <c r="Z82" s="1"/>
      <c r="AA82" s="1"/>
      <c r="AB82" s="1"/>
      <c r="AC82" s="1"/>
      <c r="AD82" s="1"/>
      <c r="AE82" s="1"/>
    </row>
    <row r="83" spans="15:31" x14ac:dyDescent="0.3">
      <c r="O83" s="1"/>
      <c r="P83" s="1"/>
      <c r="Q83" s="1"/>
      <c r="R83" s="1"/>
      <c r="S83" s="1"/>
      <c r="T83" s="1"/>
      <c r="U83" s="1"/>
      <c r="V83" s="1"/>
      <c r="W83" s="1"/>
      <c r="X83" s="1"/>
      <c r="Y83" s="1"/>
      <c r="Z83" s="1"/>
      <c r="AA83" s="1"/>
      <c r="AB83" s="1"/>
      <c r="AC83" s="1"/>
      <c r="AD83" s="1"/>
      <c r="AE83" s="1"/>
    </row>
    <row r="84" spans="15:31" x14ac:dyDescent="0.3">
      <c r="O84" s="1"/>
      <c r="P84" s="1"/>
      <c r="Q84" s="1"/>
      <c r="R84" s="1"/>
      <c r="S84" s="1"/>
      <c r="T84" s="1"/>
      <c r="U84" s="1"/>
      <c r="V84" s="1"/>
      <c r="W84" s="1"/>
      <c r="X84" s="1"/>
      <c r="Y84" s="1"/>
      <c r="Z84" s="1"/>
      <c r="AA84" s="1"/>
      <c r="AB84" s="1"/>
      <c r="AC84" s="1"/>
      <c r="AD84" s="1"/>
      <c r="AE84" s="1"/>
    </row>
    <row r="85" spans="15:31" x14ac:dyDescent="0.3">
      <c r="O85" s="1"/>
      <c r="P85" s="1"/>
      <c r="Q85" s="1"/>
      <c r="R85" s="1"/>
      <c r="S85" s="1"/>
      <c r="T85" s="1"/>
      <c r="U85" s="1"/>
      <c r="V85" s="1"/>
      <c r="W85" s="1"/>
      <c r="X85" s="1"/>
      <c r="Y85" s="1"/>
      <c r="Z85" s="1"/>
      <c r="AA85" s="1"/>
      <c r="AB85" s="1"/>
      <c r="AC85" s="1"/>
      <c r="AD85" s="1"/>
      <c r="AE85" s="1"/>
    </row>
    <row r="86" spans="15:31" x14ac:dyDescent="0.3">
      <c r="O86" s="1"/>
      <c r="P86" s="1"/>
      <c r="Q86" s="1"/>
      <c r="R86" s="1"/>
      <c r="S86" s="1"/>
      <c r="T86" s="1"/>
      <c r="U86" s="1"/>
      <c r="V86" s="1"/>
      <c r="W86" s="1"/>
      <c r="X86" s="1"/>
      <c r="Y86" s="1"/>
      <c r="Z86" s="1"/>
      <c r="AA86" s="1"/>
      <c r="AB86" s="1"/>
      <c r="AC86" s="1"/>
      <c r="AD86" s="1"/>
      <c r="AE86" s="1"/>
    </row>
    <row r="87" spans="15:31" x14ac:dyDescent="0.3">
      <c r="O87" s="1"/>
      <c r="P87" s="1"/>
      <c r="Q87" s="1"/>
      <c r="R87" s="1"/>
      <c r="S87" s="1"/>
      <c r="T87" s="1"/>
      <c r="U87" s="1"/>
      <c r="V87" s="1"/>
      <c r="W87" s="1"/>
      <c r="X87" s="1"/>
      <c r="Y87" s="1"/>
      <c r="Z87" s="1"/>
      <c r="AA87" s="1"/>
      <c r="AB87" s="1"/>
      <c r="AC87" s="1"/>
      <c r="AD87" s="1"/>
      <c r="AE87" s="1"/>
    </row>
    <row r="88" spans="15:31" x14ac:dyDescent="0.3">
      <c r="O88" s="1"/>
      <c r="P88" s="1"/>
      <c r="Q88" s="1"/>
      <c r="R88" s="1"/>
      <c r="S88" s="1"/>
      <c r="T88" s="1"/>
      <c r="U88" s="1"/>
      <c r="V88" s="1"/>
      <c r="W88" s="1"/>
      <c r="X88" s="1"/>
      <c r="Y88" s="1"/>
      <c r="Z88" s="1"/>
      <c r="AA88" s="1"/>
      <c r="AB88" s="1"/>
      <c r="AC88" s="1"/>
      <c r="AD88" s="1"/>
      <c r="AE88" s="1"/>
    </row>
    <row r="89" spans="15:31" x14ac:dyDescent="0.3">
      <c r="O89" s="1"/>
      <c r="P89" s="1"/>
      <c r="Q89" s="1"/>
      <c r="R89" s="1"/>
      <c r="S89" s="1"/>
      <c r="T89" s="1"/>
      <c r="U89" s="1"/>
      <c r="V89" s="1"/>
      <c r="W89" s="1"/>
      <c r="X89" s="1"/>
      <c r="Y89" s="1"/>
      <c r="Z89" s="1"/>
      <c r="AA89" s="1"/>
      <c r="AB89" s="1"/>
      <c r="AC89" s="1"/>
      <c r="AD89" s="1"/>
      <c r="AE89" s="1"/>
    </row>
    <row r="90" spans="15:31" x14ac:dyDescent="0.3">
      <c r="O90" s="1"/>
      <c r="P90" s="1"/>
      <c r="Q90" s="1"/>
      <c r="R90" s="1"/>
      <c r="S90" s="1"/>
      <c r="T90" s="1"/>
      <c r="U90" s="1"/>
      <c r="V90" s="1"/>
      <c r="W90" s="1"/>
      <c r="X90" s="1"/>
      <c r="Y90" s="1"/>
      <c r="Z90" s="1"/>
      <c r="AA90" s="1"/>
      <c r="AB90" s="1"/>
      <c r="AC90" s="1"/>
      <c r="AD90" s="1"/>
      <c r="AE90" s="1"/>
    </row>
    <row r="91" spans="15:31" x14ac:dyDescent="0.3">
      <c r="O91" s="1"/>
      <c r="P91" s="1"/>
      <c r="Q91" s="1"/>
      <c r="R91" s="1"/>
      <c r="S91" s="1"/>
      <c r="T91" s="1"/>
      <c r="U91" s="1"/>
      <c r="V91" s="1"/>
      <c r="W91" s="1"/>
      <c r="X91" s="1"/>
      <c r="Y91" s="1"/>
      <c r="Z91" s="1"/>
      <c r="AA91" s="1"/>
      <c r="AB91" s="1"/>
      <c r="AC91" s="1"/>
      <c r="AD91" s="1"/>
      <c r="AE91" s="1"/>
    </row>
    <row r="92" spans="15:31" x14ac:dyDescent="0.3">
      <c r="O92" s="1"/>
      <c r="P92" s="1"/>
      <c r="Q92" s="1"/>
      <c r="R92" s="1"/>
      <c r="S92" s="1"/>
      <c r="T92" s="1"/>
      <c r="U92" s="1"/>
      <c r="V92" s="1"/>
      <c r="W92" s="1"/>
      <c r="X92" s="1"/>
      <c r="Y92" s="1"/>
      <c r="Z92" s="1"/>
      <c r="AA92" s="1"/>
      <c r="AB92" s="1"/>
      <c r="AC92" s="1"/>
      <c r="AD92" s="1"/>
      <c r="AE92" s="1"/>
    </row>
    <row r="93" spans="15:31" x14ac:dyDescent="0.3">
      <c r="O93" s="1"/>
      <c r="P93" s="1"/>
      <c r="Q93" s="1"/>
      <c r="R93" s="1"/>
      <c r="S93" s="1"/>
      <c r="T93" s="1"/>
      <c r="U93" s="1"/>
      <c r="V93" s="1"/>
      <c r="W93" s="1"/>
      <c r="X93" s="1"/>
      <c r="Y93" s="1"/>
      <c r="Z93" s="1"/>
      <c r="AA93" s="1"/>
      <c r="AB93" s="1"/>
      <c r="AC93" s="1"/>
      <c r="AD93" s="1"/>
      <c r="AE93" s="1"/>
    </row>
    <row r="94" spans="15:31" x14ac:dyDescent="0.3">
      <c r="O94" s="1"/>
      <c r="P94" s="1"/>
      <c r="Q94" s="1"/>
      <c r="R94" s="1"/>
      <c r="S94" s="1"/>
      <c r="T94" s="1"/>
      <c r="U94" s="1"/>
      <c r="V94" s="1"/>
      <c r="W94" s="1"/>
      <c r="X94" s="1"/>
      <c r="Y94" s="1"/>
      <c r="Z94" s="1"/>
      <c r="AA94" s="1"/>
      <c r="AB94" s="1"/>
      <c r="AC94" s="1"/>
      <c r="AD94" s="1"/>
      <c r="AE94" s="1"/>
    </row>
    <row r="95" spans="15:31" x14ac:dyDescent="0.3">
      <c r="O95" s="1"/>
      <c r="P95" s="1"/>
      <c r="Q95" s="1"/>
      <c r="R95" s="1"/>
      <c r="S95" s="1"/>
      <c r="T95" s="1"/>
      <c r="U95" s="1"/>
      <c r="V95" s="1"/>
      <c r="W95" s="1"/>
      <c r="X95" s="1"/>
      <c r="Y95" s="1"/>
      <c r="Z95" s="1"/>
      <c r="AA95" s="1"/>
      <c r="AB95" s="1"/>
      <c r="AC95" s="1"/>
      <c r="AD95" s="1"/>
      <c r="AE95" s="1"/>
    </row>
    <row r="96" spans="15:31" x14ac:dyDescent="0.3">
      <c r="O96" s="1"/>
      <c r="P96" s="1"/>
      <c r="Q96" s="1"/>
      <c r="R96" s="1"/>
      <c r="S96" s="1"/>
      <c r="T96" s="1"/>
      <c r="U96" s="1"/>
      <c r="V96" s="1"/>
      <c r="W96" s="1"/>
      <c r="X96" s="1"/>
      <c r="Y96" s="1"/>
      <c r="Z96" s="1"/>
      <c r="AA96" s="1"/>
      <c r="AB96" s="1"/>
      <c r="AC96" s="1"/>
      <c r="AD96" s="1"/>
      <c r="AE96" s="1"/>
    </row>
    <row r="97" spans="15:31" x14ac:dyDescent="0.3">
      <c r="O97" s="1"/>
      <c r="P97" s="1"/>
      <c r="Q97" s="1"/>
      <c r="R97" s="1"/>
      <c r="S97" s="1"/>
      <c r="T97" s="1"/>
      <c r="U97" s="1"/>
      <c r="V97" s="1"/>
      <c r="W97" s="1"/>
      <c r="X97" s="1"/>
      <c r="Y97" s="1"/>
      <c r="Z97" s="1"/>
      <c r="AA97" s="1"/>
      <c r="AB97" s="1"/>
      <c r="AC97" s="1"/>
      <c r="AD97" s="1"/>
      <c r="AE97" s="1"/>
    </row>
    <row r="98" spans="15:31" x14ac:dyDescent="0.3">
      <c r="O98" s="1"/>
      <c r="P98" s="1"/>
      <c r="Q98" s="1"/>
      <c r="R98" s="1"/>
      <c r="S98" s="1"/>
      <c r="T98" s="1"/>
      <c r="U98" s="1"/>
      <c r="V98" s="1"/>
      <c r="W98" s="1"/>
      <c r="X98" s="1"/>
      <c r="Y98" s="1"/>
      <c r="Z98" s="1"/>
      <c r="AA98" s="1"/>
      <c r="AB98" s="1"/>
      <c r="AC98" s="1"/>
      <c r="AD98" s="1"/>
      <c r="AE98" s="1"/>
    </row>
    <row r="99" spans="15:31" x14ac:dyDescent="0.3">
      <c r="O99" s="1"/>
      <c r="P99" s="1"/>
      <c r="Q99" s="1"/>
      <c r="R99" s="1"/>
      <c r="S99" s="1"/>
      <c r="T99" s="1"/>
      <c r="U99" s="1"/>
      <c r="V99" s="1"/>
      <c r="W99" s="1"/>
      <c r="X99" s="1"/>
      <c r="Y99" s="1"/>
      <c r="Z99" s="1"/>
      <c r="AA99" s="1"/>
      <c r="AB99" s="1"/>
      <c r="AC99" s="1"/>
      <c r="AD99" s="1"/>
      <c r="AE99" s="1"/>
    </row>
    <row r="100" spans="15:31" x14ac:dyDescent="0.3">
      <c r="O100" s="1"/>
      <c r="P100" s="1"/>
      <c r="Q100" s="1"/>
      <c r="R100" s="1"/>
      <c r="S100" s="1"/>
      <c r="T100" s="1"/>
      <c r="U100" s="1"/>
      <c r="V100" s="1"/>
      <c r="W100" s="1"/>
      <c r="X100" s="1"/>
      <c r="Y100" s="1"/>
      <c r="Z100" s="1"/>
      <c r="AA100" s="1"/>
      <c r="AB100" s="1"/>
      <c r="AC100" s="1"/>
      <c r="AD100" s="1"/>
      <c r="AE100" s="1"/>
    </row>
    <row r="101" spans="15:31" x14ac:dyDescent="0.3">
      <c r="O101" s="1"/>
      <c r="P101" s="1"/>
      <c r="Q101" s="1"/>
      <c r="R101" s="1"/>
      <c r="S101" s="1"/>
      <c r="T101" s="1"/>
      <c r="U101" s="1"/>
      <c r="V101" s="1"/>
      <c r="W101" s="1"/>
      <c r="X101" s="1"/>
      <c r="Y101" s="1"/>
      <c r="Z101" s="1"/>
      <c r="AA101" s="1"/>
      <c r="AB101" s="1"/>
      <c r="AC101" s="1"/>
      <c r="AD101" s="1"/>
      <c r="AE101" s="1"/>
    </row>
    <row r="102" spans="15:31" x14ac:dyDescent="0.3">
      <c r="O102" s="1"/>
      <c r="P102" s="1"/>
      <c r="Q102" s="1"/>
      <c r="R102" s="1"/>
      <c r="S102" s="1"/>
      <c r="T102" s="1"/>
      <c r="U102" s="1"/>
      <c r="V102" s="1"/>
      <c r="W102" s="1"/>
      <c r="X102" s="1"/>
      <c r="Y102" s="1"/>
      <c r="Z102" s="1"/>
      <c r="AA102" s="1"/>
      <c r="AB102" s="1"/>
      <c r="AC102" s="1"/>
      <c r="AD102" s="1"/>
      <c r="AE102" s="1"/>
    </row>
    <row r="103" spans="15:31" x14ac:dyDescent="0.3">
      <c r="O103" s="1"/>
      <c r="P103" s="1"/>
      <c r="Q103" s="1"/>
      <c r="R103" s="1"/>
      <c r="S103" s="1"/>
      <c r="T103" s="1"/>
      <c r="U103" s="1"/>
      <c r="V103" s="1"/>
      <c r="W103" s="1"/>
      <c r="X103" s="1"/>
      <c r="Y103" s="1"/>
      <c r="Z103" s="1"/>
      <c r="AA103" s="1"/>
      <c r="AB103" s="1"/>
      <c r="AC103" s="1"/>
      <c r="AD103" s="1"/>
      <c r="AE103" s="1"/>
    </row>
    <row r="104" spans="15:31" x14ac:dyDescent="0.3">
      <c r="O104" s="1"/>
      <c r="P104" s="1"/>
      <c r="Q104" s="1"/>
      <c r="R104" s="1"/>
      <c r="S104" s="1"/>
      <c r="T104" s="1"/>
      <c r="U104" s="1"/>
      <c r="V104" s="1"/>
      <c r="W104" s="1"/>
      <c r="X104" s="1"/>
      <c r="Y104" s="1"/>
      <c r="Z104" s="1"/>
      <c r="AA104" s="1"/>
      <c r="AB104" s="1"/>
      <c r="AC104" s="1"/>
      <c r="AD104" s="1"/>
      <c r="AE104" s="1"/>
    </row>
    <row r="105" spans="15:31" x14ac:dyDescent="0.3">
      <c r="O105" s="1"/>
      <c r="P105" s="1"/>
      <c r="Q105" s="1"/>
      <c r="R105" s="1"/>
      <c r="S105" s="1"/>
      <c r="T105" s="1"/>
      <c r="U105" s="1"/>
      <c r="V105" s="1"/>
      <c r="W105" s="1"/>
      <c r="X105" s="1"/>
      <c r="Y105" s="1"/>
      <c r="Z105" s="1"/>
      <c r="AA105" s="1"/>
      <c r="AB105" s="1"/>
      <c r="AC105" s="1"/>
      <c r="AD105" s="1"/>
      <c r="AE105" s="1"/>
    </row>
    <row r="106" spans="15:31" x14ac:dyDescent="0.3">
      <c r="O106" s="1"/>
      <c r="P106" s="1"/>
      <c r="Q106" s="1"/>
      <c r="R106" s="1"/>
      <c r="S106" s="1"/>
      <c r="T106" s="1"/>
      <c r="U106" s="1"/>
      <c r="V106" s="1"/>
      <c r="W106" s="1"/>
      <c r="X106" s="1"/>
      <c r="Y106" s="1"/>
      <c r="Z106" s="1"/>
      <c r="AA106" s="1"/>
      <c r="AB106" s="1"/>
      <c r="AC106" s="1"/>
      <c r="AD106" s="1"/>
      <c r="AE106" s="1"/>
    </row>
    <row r="107" spans="15:31" x14ac:dyDescent="0.3">
      <c r="O107" s="1"/>
      <c r="P107" s="1"/>
      <c r="Q107" s="1"/>
      <c r="R107" s="1"/>
      <c r="S107" s="1"/>
      <c r="T107" s="1"/>
      <c r="U107" s="1"/>
      <c r="V107" s="1"/>
      <c r="W107" s="1"/>
      <c r="X107" s="1"/>
      <c r="Y107" s="1"/>
      <c r="Z107" s="1"/>
      <c r="AA107" s="1"/>
      <c r="AB107" s="1"/>
      <c r="AC107" s="1"/>
      <c r="AD107" s="1"/>
      <c r="AE107" s="1"/>
    </row>
    <row r="108" spans="15:31" x14ac:dyDescent="0.3">
      <c r="O108" s="1"/>
      <c r="P108" s="1"/>
      <c r="Q108" s="1"/>
      <c r="R108" s="1"/>
      <c r="S108" s="1"/>
      <c r="T108" s="1"/>
      <c r="U108" s="1"/>
      <c r="V108" s="1"/>
      <c r="W108" s="1"/>
      <c r="X108" s="1"/>
      <c r="Y108" s="1"/>
      <c r="Z108" s="1"/>
      <c r="AA108" s="1"/>
      <c r="AB108" s="1"/>
      <c r="AC108" s="1"/>
      <c r="AD108" s="1"/>
      <c r="AE108" s="1"/>
    </row>
  </sheetData>
  <autoFilter ref="A3:M12" xr:uid="{351D394C-6BE9-4537-BC2C-BE51EEF723C9}"/>
  <dataValidations count="4">
    <dataValidation type="list" allowBlank="1" showInputMessage="1" showErrorMessage="1" sqref="K4:K23" xr:uid="{9A8C48A1-8512-4043-AA75-766BE3D5BDF9}">
      <formula1>klp_risiko</formula1>
    </dataValidation>
    <dataValidation type="list" allowBlank="1" showInputMessage="1" showErrorMessage="1" sqref="J4:J23" xr:uid="{404EF733-3CB8-466A-B51B-9D9E62AC31B4}">
      <formula1>jenis_kelamin</formula1>
    </dataValidation>
    <dataValidation type="list" allowBlank="1" showInputMessage="1" showErrorMessage="1" sqref="B4:B23" xr:uid="{B8A99990-4223-4694-8A2B-67B4CB894832}">
      <formula1>ya_tdk</formula1>
    </dataValidation>
    <dataValidation type="date" allowBlank="1" showInputMessage="1" showErrorMessage="1" sqref="I4:I44" xr:uid="{C5734A66-A524-4AB3-AC91-94386823B99A}">
      <formula1>18264</formula1>
      <formula2>46023</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A28A-5BB8-4560-9E2F-7A6889E188E8}">
  <sheetPr codeName="Sheet3"/>
  <dimension ref="A1:AL20"/>
  <sheetViews>
    <sheetView showGridLines="0" showRowColHeaders="0" zoomScale="130" zoomScaleNormal="130" workbookViewId="0">
      <pane xSplit="7" ySplit="4" topLeftCell="H5" activePane="bottomRight" state="frozen"/>
      <selection pane="topRight" activeCell="H1" sqref="H1"/>
      <selection pane="bottomLeft" activeCell="A5" sqref="A5"/>
      <selection pane="bottomRight" activeCell="B4" sqref="B4"/>
    </sheetView>
  </sheetViews>
  <sheetFormatPr defaultRowHeight="14.4" x14ac:dyDescent="0.3"/>
  <cols>
    <col min="2" max="2" width="14.21875" customWidth="1"/>
    <col min="3" max="3" width="22.6640625" customWidth="1"/>
    <col min="4" max="4" width="26.77734375" customWidth="1"/>
    <col min="5" max="5" width="26.44140625" customWidth="1"/>
    <col min="6" max="7" width="18.77734375" customWidth="1"/>
    <col min="8" max="8" width="15.109375" customWidth="1"/>
    <col min="9" max="9" width="17.88671875" customWidth="1"/>
  </cols>
  <sheetData>
    <row r="1" spans="1:38" x14ac:dyDescent="0.3">
      <c r="G1" s="1">
        <v>4</v>
      </c>
      <c r="H1" t="s">
        <v>305</v>
      </c>
      <c r="Z1" s="1"/>
      <c r="AA1" s="1">
        <f t="shared" ref="AA1:AC1" si="0">SUM(AA4:AA50000)</f>
        <v>0</v>
      </c>
      <c r="AB1" s="1">
        <f t="shared" si="0"/>
        <v>0</v>
      </c>
      <c r="AC1" s="1">
        <f t="shared" si="0"/>
        <v>0</v>
      </c>
      <c r="AD1" s="1">
        <f>COUNTIF(B4:B50000,"Ya")</f>
        <v>0</v>
      </c>
      <c r="AE1" s="1"/>
      <c r="AF1" s="1">
        <f t="shared" ref="AF1:AH1" si="1">SUM(AF4:AF50000)</f>
        <v>0</v>
      </c>
      <c r="AG1" s="1">
        <f t="shared" si="1"/>
        <v>0</v>
      </c>
      <c r="AH1" s="1">
        <f t="shared" si="1"/>
        <v>0</v>
      </c>
      <c r="AI1" s="1">
        <f>SUM(AF1:AH1)</f>
        <v>0</v>
      </c>
      <c r="AJ1" s="1">
        <f>COUNT(A4:A50000)</f>
        <v>9</v>
      </c>
      <c r="AK1" s="1"/>
      <c r="AL1" s="1"/>
    </row>
    <row r="2" spans="1:38" x14ac:dyDescent="0.3">
      <c r="G2" s="2"/>
      <c r="H2" s="2" t="e">
        <f>IF(AND(format_date=TRUE,format_date_chrome="en-US"),VLOOKUP(MONTH(F2),month_2digit,2,FALSE)&amp;","&amp;VLOOKUP(DAY(F2),day_2digit,2,FALSE)&amp;","&amp;YEAR(F2),IF(AND(format_date=TRUE,format_date_chrome="id"),VLOOKUP(DAY(F2),day_2digit,2,FALSE)&amp;","&amp;VLOOKUP(MONTH(F2),month_2digit,2,FALSE)&amp;","&amp;YEAR(F2),VLOOKUP(DAY(F2),day_2digit,2,FALSE)&amp;","&amp;VLOOKUP(MONTH(F2),month_2digit,2,FALSE)&amp;","&amp;YEAR(F2)))</f>
        <v>#N/A</v>
      </c>
      <c r="Z2" s="1"/>
      <c r="AA2" s="1">
        <f>IF($B2&lt;&gt;"Ya",0,IF(C2="",1,IF(LEN(C2)&lt;&gt;16,1,0)))</f>
        <v>0</v>
      </c>
      <c r="AB2" s="1">
        <f>IF($B2&lt;&gt;"Ya",0,IF(E2="",1,IFERROR(VLOOKUP(E2,admin_prep!$K$2:$L$4,2,FALSE),1)))</f>
        <v>0</v>
      </c>
      <c r="AC2" s="1">
        <f>IF($B2&lt;&gt;"Ya",0,IF(F2="",1,IF(F2="",1,IFERROR(VLOOKUP(MONTH(F2),admin_prep!$A$2:$C$13,3,FALSE),1))))</f>
        <v>0</v>
      </c>
      <c r="AD2" s="1" t="s">
        <v>1</v>
      </c>
      <c r="AE2" s="1"/>
      <c r="AF2" s="1">
        <f>IF(C2="",1,IF(LEN(C2)&lt;&gt;16,1,0))</f>
        <v>1</v>
      </c>
      <c r="AG2" s="1">
        <f>IF(E2="",1,IFERROR(VLOOKUP(E2,admin_prep!$K$2:$L$4,2,FALSE),1))</f>
        <v>1</v>
      </c>
      <c r="AH2" s="1">
        <f>IF(F2="",1,IFERROR(VLOOKUP(MONTH(F2),admin_prep!$A$2:$C$13,3,FALSE),1))</f>
        <v>1</v>
      </c>
      <c r="AI2" s="1" t="s">
        <v>9</v>
      </c>
      <c r="AJ2" s="1" t="s">
        <v>10</v>
      </c>
      <c r="AK2" s="1"/>
      <c r="AL2" s="1"/>
    </row>
    <row r="3" spans="1:38" ht="28.8" x14ac:dyDescent="0.3">
      <c r="A3" s="30" t="s">
        <v>0</v>
      </c>
      <c r="B3" s="30" t="s">
        <v>1</v>
      </c>
      <c r="C3" s="30" t="s">
        <v>2</v>
      </c>
      <c r="D3" s="11" t="s">
        <v>8</v>
      </c>
      <c r="E3" s="30" t="s">
        <v>19</v>
      </c>
      <c r="F3" s="30" t="s">
        <v>20</v>
      </c>
      <c r="G3" s="31" t="s">
        <v>6</v>
      </c>
      <c r="H3" s="31" t="s">
        <v>21</v>
      </c>
      <c r="Z3" s="1"/>
      <c r="AA3" s="1" t="s">
        <v>2</v>
      </c>
      <c r="AB3" s="1" t="s">
        <v>22</v>
      </c>
      <c r="AC3" s="1" t="s">
        <v>23</v>
      </c>
      <c r="AD3" s="1"/>
      <c r="AE3" s="1"/>
      <c r="AF3" s="1" t="s">
        <v>2</v>
      </c>
      <c r="AG3" s="1" t="s">
        <v>22</v>
      </c>
      <c r="AH3" s="1" t="s">
        <v>23</v>
      </c>
      <c r="AI3" s="1"/>
      <c r="AJ3" s="1"/>
      <c r="AK3" s="1"/>
      <c r="AL3" s="1"/>
    </row>
    <row r="4" spans="1:38" x14ac:dyDescent="0.3">
      <c r="A4" s="34">
        <v>1</v>
      </c>
      <c r="B4" s="4"/>
      <c r="C4" s="5"/>
      <c r="D4" s="4"/>
      <c r="E4" s="4"/>
      <c r="F4" s="8"/>
      <c r="G4" s="2"/>
      <c r="H4" s="2"/>
      <c r="Z4" s="1"/>
      <c r="AD4" s="1"/>
      <c r="AE4" s="1"/>
      <c r="AI4" s="1"/>
      <c r="AJ4" s="1"/>
      <c r="AK4" s="1"/>
      <c r="AL4" s="1"/>
    </row>
    <row r="5" spans="1:38" x14ac:dyDescent="0.3">
      <c r="A5" s="34">
        <v>2</v>
      </c>
      <c r="B5" s="4"/>
      <c r="C5" s="5"/>
      <c r="D5" s="4"/>
      <c r="E5" s="4"/>
      <c r="F5" s="8"/>
      <c r="G5" s="2"/>
      <c r="H5" s="2"/>
      <c r="Z5" s="1"/>
      <c r="AD5" s="1"/>
      <c r="AE5" s="1"/>
      <c r="AI5" s="1"/>
      <c r="AJ5" s="1"/>
      <c r="AK5" s="1"/>
      <c r="AL5" s="1"/>
    </row>
    <row r="6" spans="1:38" x14ac:dyDescent="0.3">
      <c r="A6" s="34">
        <v>3</v>
      </c>
      <c r="B6" s="4"/>
      <c r="C6" s="5"/>
      <c r="D6" s="4"/>
      <c r="E6" s="4"/>
      <c r="F6" s="8"/>
      <c r="G6" s="2"/>
      <c r="H6" s="2"/>
    </row>
    <row r="7" spans="1:38" x14ac:dyDescent="0.3">
      <c r="A7" s="34">
        <v>4</v>
      </c>
      <c r="B7" s="4"/>
      <c r="C7" s="5"/>
      <c r="D7" s="4"/>
      <c r="E7" s="4"/>
      <c r="F7" s="8"/>
      <c r="G7" s="2"/>
      <c r="H7" s="2"/>
    </row>
    <row r="8" spans="1:38" x14ac:dyDescent="0.3">
      <c r="A8" s="34">
        <v>5</v>
      </c>
      <c r="B8" s="4"/>
      <c r="C8" s="5"/>
      <c r="D8" s="4"/>
      <c r="E8" s="4"/>
      <c r="F8" s="8"/>
      <c r="G8" s="2"/>
      <c r="H8" s="2"/>
    </row>
    <row r="9" spans="1:38" x14ac:dyDescent="0.3">
      <c r="A9" s="34">
        <v>6</v>
      </c>
      <c r="B9" s="4"/>
      <c r="C9" s="5"/>
      <c r="D9" s="4"/>
      <c r="E9" s="4"/>
      <c r="F9" s="8"/>
      <c r="G9" s="2"/>
      <c r="H9" s="2"/>
    </row>
    <row r="10" spans="1:38" x14ac:dyDescent="0.3">
      <c r="A10" s="34">
        <v>7</v>
      </c>
      <c r="B10" s="4"/>
      <c r="C10" s="5"/>
      <c r="D10" s="4"/>
      <c r="E10" s="4"/>
      <c r="F10" s="8"/>
      <c r="G10" s="2"/>
      <c r="H10" s="2"/>
    </row>
    <row r="11" spans="1:38" x14ac:dyDescent="0.3">
      <c r="A11" s="34">
        <v>8</v>
      </c>
      <c r="B11" s="4"/>
      <c r="C11" s="4"/>
      <c r="D11" s="4"/>
      <c r="E11" s="4"/>
      <c r="F11" s="8"/>
      <c r="G11" s="2"/>
      <c r="H11" s="2"/>
    </row>
    <row r="12" spans="1:38" x14ac:dyDescent="0.3">
      <c r="A12" s="34">
        <v>9</v>
      </c>
      <c r="B12" s="4"/>
      <c r="C12" s="5"/>
      <c r="D12" s="4"/>
      <c r="E12" s="4"/>
      <c r="F12" s="8"/>
      <c r="G12" s="2"/>
      <c r="H12" s="2"/>
    </row>
    <row r="13" spans="1:38" x14ac:dyDescent="0.3">
      <c r="A13" s="34"/>
      <c r="B13" s="4"/>
      <c r="C13" s="4"/>
      <c r="D13" s="4"/>
      <c r="E13" s="4"/>
      <c r="F13" s="8"/>
      <c r="G13" s="2"/>
      <c r="H13" s="2"/>
    </row>
    <row r="14" spans="1:38" x14ac:dyDescent="0.3">
      <c r="A14" s="34"/>
      <c r="B14" s="4"/>
      <c r="C14" s="5"/>
      <c r="D14" s="4"/>
      <c r="E14" s="4"/>
      <c r="F14" s="8"/>
      <c r="G14" s="2"/>
      <c r="H14" s="2"/>
    </row>
    <row r="15" spans="1:38" x14ac:dyDescent="0.3">
      <c r="A15" s="34"/>
      <c r="B15" s="4"/>
      <c r="C15" s="5"/>
      <c r="D15" s="4"/>
      <c r="E15" s="4"/>
      <c r="F15" s="8"/>
      <c r="G15" s="2"/>
      <c r="H15" s="2"/>
    </row>
    <row r="16" spans="1:38" x14ac:dyDescent="0.3">
      <c r="A16" s="34"/>
      <c r="B16" s="4"/>
      <c r="C16" s="5"/>
      <c r="D16" s="4"/>
      <c r="E16" s="4"/>
      <c r="F16" s="8"/>
      <c r="G16" s="2"/>
      <c r="H16" s="2"/>
    </row>
    <row r="17" spans="1:8" x14ac:dyDescent="0.3">
      <c r="A17" s="34"/>
      <c r="B17" s="4"/>
      <c r="C17" s="5"/>
      <c r="D17" s="4"/>
      <c r="E17" s="4"/>
      <c r="F17" s="8"/>
      <c r="G17" s="2"/>
      <c r="H17" s="2"/>
    </row>
    <row r="18" spans="1:8" x14ac:dyDescent="0.3">
      <c r="A18" s="34"/>
      <c r="B18" s="4"/>
      <c r="C18" s="5"/>
      <c r="D18" s="4"/>
      <c r="E18" s="4"/>
      <c r="F18" s="8"/>
      <c r="G18" s="2"/>
      <c r="H18" s="2"/>
    </row>
    <row r="19" spans="1:8" x14ac:dyDescent="0.3">
      <c r="A19" s="34"/>
      <c r="B19" s="4"/>
      <c r="C19" s="5"/>
      <c r="D19" s="4"/>
      <c r="E19" s="4"/>
      <c r="F19" s="8"/>
      <c r="G19" s="2"/>
      <c r="H19" s="2"/>
    </row>
    <row r="20" spans="1:8" x14ac:dyDescent="0.3">
      <c r="A20" s="34"/>
      <c r="B20" s="4"/>
      <c r="C20" s="5"/>
      <c r="D20" s="4"/>
      <c r="E20" s="4"/>
      <c r="F20" s="8"/>
      <c r="G20" s="2"/>
      <c r="H20" s="2"/>
    </row>
  </sheetData>
  <autoFilter ref="A3:H8" xr:uid="{585EA28A-5BB8-4560-9E2F-7A6889E188E8}"/>
  <dataValidations count="3">
    <dataValidation type="date" allowBlank="1" showInputMessage="1" showErrorMessage="1" sqref="F4:F20" xr:uid="{3ADA1820-D5D9-406E-BEE0-F67E67171047}">
      <formula1>45292</formula1>
      <formula2>46023</formula2>
    </dataValidation>
    <dataValidation type="list" allowBlank="1" showInputMessage="1" showErrorMessage="1" sqref="B4:B20" xr:uid="{319768C0-6C18-4AD5-B88F-035FEBC75DBE}">
      <formula1>ya_tdk</formula1>
    </dataValidation>
    <dataValidation type="list" allowBlank="1" showInputMessage="1" showErrorMessage="1" sqref="E4:E20" xr:uid="{145CF22D-0761-4BFA-A622-FF53DE91DC35}">
      <formula1>keperluan_kunjungan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7BC4B-CA7D-498A-A886-7EB35635C3CA}">
  <sheetPr codeName="Sheet4"/>
  <dimension ref="A1:DV154"/>
  <sheetViews>
    <sheetView showGridLines="0" showRowColHeaders="0" zoomScaleNormal="100" workbookViewId="0">
      <pane xSplit="3" ySplit="3" topLeftCell="D4" activePane="bottomRight" state="frozen"/>
      <selection pane="topRight" activeCell="D1" sqref="D1"/>
      <selection pane="bottomLeft" activeCell="A4" sqref="A4"/>
      <selection pane="bottomRight" activeCell="B4" sqref="B4"/>
    </sheetView>
  </sheetViews>
  <sheetFormatPr defaultRowHeight="14.4" x14ac:dyDescent="0.3"/>
  <cols>
    <col min="1" max="1" width="6.21875" customWidth="1"/>
    <col min="2" max="2" width="13.5546875" customWidth="1"/>
    <col min="3" max="3" width="22" customWidth="1"/>
    <col min="4" max="4" width="18.109375" customWidth="1"/>
    <col min="5" max="5" width="19.109375" customWidth="1"/>
    <col min="6" max="6" width="14.44140625" customWidth="1"/>
    <col min="7" max="7" width="11.33203125" customWidth="1"/>
    <col min="8" max="8" width="7" customWidth="1"/>
    <col min="9" max="9" width="6.77734375" customWidth="1"/>
    <col min="10" max="10" width="8.109375" customWidth="1"/>
    <col min="11" max="11" width="12.33203125" customWidth="1"/>
    <col min="12" max="12" width="11.21875" customWidth="1"/>
    <col min="13" max="13" width="15.5546875" customWidth="1"/>
    <col min="14" max="14" width="10.6640625" customWidth="1"/>
    <col min="15" max="15" width="12.77734375" customWidth="1"/>
    <col min="16" max="16" width="10.33203125" customWidth="1"/>
    <col min="17" max="17" width="10.44140625" customWidth="1"/>
    <col min="18" max="18" width="16.77734375" customWidth="1"/>
    <col min="19" max="19" width="21" customWidth="1"/>
    <col min="20" max="20" width="11.88671875" customWidth="1"/>
    <col min="21" max="21" width="15.5546875" customWidth="1"/>
    <col min="22" max="22" width="15.109375" customWidth="1"/>
    <col min="23" max="23" width="13.77734375" customWidth="1"/>
    <col min="24" max="24" width="15.88671875" customWidth="1"/>
    <col min="25" max="25" width="14.5546875" customWidth="1"/>
    <col min="26" max="26" width="9.77734375" customWidth="1"/>
    <col min="27" max="27" width="11" customWidth="1"/>
    <col min="28" max="28" width="15.6640625" customWidth="1"/>
    <col min="29" max="29" width="10.6640625" customWidth="1"/>
    <col min="30" max="30" width="29" customWidth="1"/>
    <col min="31" max="31" width="9.21875" customWidth="1"/>
    <col min="32" max="32" width="11.33203125" customWidth="1"/>
    <col min="33" max="33" width="8.77734375" customWidth="1"/>
    <col min="34" max="34" width="14.44140625" customWidth="1"/>
    <col min="35" max="35" width="12.33203125" customWidth="1"/>
    <col min="36" max="36" width="12.77734375" customWidth="1"/>
    <col min="37" max="37" width="12.6640625" customWidth="1"/>
    <col min="38" max="38" width="10.21875" customWidth="1"/>
    <col min="39" max="39" width="11.33203125" customWidth="1"/>
    <col min="40" max="40" width="8.88671875" customWidth="1"/>
    <col min="41" max="41" width="8.77734375" customWidth="1"/>
    <col min="42" max="42" width="13.6640625" customWidth="1"/>
    <col min="43" max="43" width="14.33203125" customWidth="1"/>
    <col min="44" max="44" width="6" customWidth="1"/>
    <col min="45" max="45" width="8.44140625" customWidth="1"/>
    <col min="46" max="46" width="11.6640625" customWidth="1"/>
    <col min="47" max="47" width="14.44140625" customWidth="1"/>
    <col min="48" max="48" width="14.6640625" customWidth="1"/>
    <col min="49" max="49" width="8.5546875" customWidth="1"/>
  </cols>
  <sheetData>
    <row r="1" spans="1:126" ht="23.4" customHeight="1" x14ac:dyDescent="0.3">
      <c r="A1" s="1">
        <f>COUNTIFS(A4:A49989,"&gt;0",B4:B49989,"Ya*")</f>
        <v>1</v>
      </c>
      <c r="B1" s="1">
        <f>COUNTIF(B4:B49989,"Ya*")</f>
        <v>1</v>
      </c>
      <c r="I1" s="1">
        <v>4</v>
      </c>
      <c r="BE1" s="1"/>
      <c r="BF1" s="1"/>
      <c r="BG1" s="1"/>
      <c r="BH1" s="1"/>
      <c r="BI1" s="1"/>
      <c r="BJ1" s="1"/>
      <c r="BK1" s="1"/>
      <c r="BL1" s="1"/>
      <c r="BM1" s="1"/>
      <c r="BN1" s="1"/>
      <c r="BO1" s="1"/>
      <c r="BP1" s="1"/>
      <c r="BQ1" s="1"/>
      <c r="BR1" s="1"/>
      <c r="BS1" s="1"/>
      <c r="BT1" s="1"/>
      <c r="BU1" s="1"/>
      <c r="BV1" s="1"/>
      <c r="BW1" s="1"/>
      <c r="BX1" s="1"/>
      <c r="BY1" s="1">
        <f>SUM(BZ1:DS1)</f>
        <v>0</v>
      </c>
      <c r="BZ1" s="1">
        <f t="shared" ref="BZ1:DS1" si="0">SUM(BZ4:BZ49989)</f>
        <v>0</v>
      </c>
      <c r="CA1" s="1">
        <f t="shared" si="0"/>
        <v>0</v>
      </c>
      <c r="CB1" s="1">
        <f t="shared" si="0"/>
        <v>0</v>
      </c>
      <c r="CC1" s="1">
        <f t="shared" si="0"/>
        <v>0</v>
      </c>
      <c r="CD1" s="1">
        <f t="shared" si="0"/>
        <v>0</v>
      </c>
      <c r="CE1" s="1">
        <f t="shared" si="0"/>
        <v>0</v>
      </c>
      <c r="CF1" s="1">
        <f t="shared" si="0"/>
        <v>0</v>
      </c>
      <c r="CG1" s="1">
        <f t="shared" si="0"/>
        <v>0</v>
      </c>
      <c r="CH1" s="1">
        <f t="shared" si="0"/>
        <v>0</v>
      </c>
      <c r="CI1" s="1">
        <f t="shared" si="0"/>
        <v>0</v>
      </c>
      <c r="CJ1" s="1">
        <f t="shared" si="0"/>
        <v>0</v>
      </c>
      <c r="CK1" s="1">
        <f t="shared" si="0"/>
        <v>0</v>
      </c>
      <c r="CL1" s="1">
        <f t="shared" si="0"/>
        <v>0</v>
      </c>
      <c r="CM1" s="1">
        <f t="shared" si="0"/>
        <v>0</v>
      </c>
      <c r="CN1" s="1">
        <f t="shared" si="0"/>
        <v>0</v>
      </c>
      <c r="CO1" s="1">
        <f t="shared" si="0"/>
        <v>0</v>
      </c>
      <c r="CP1" s="1">
        <f t="shared" si="0"/>
        <v>0</v>
      </c>
      <c r="CQ1" s="1">
        <f t="shared" si="0"/>
        <v>0</v>
      </c>
      <c r="CR1" s="1">
        <f t="shared" si="0"/>
        <v>0</v>
      </c>
      <c r="CS1" s="1">
        <f t="shared" si="0"/>
        <v>0</v>
      </c>
      <c r="CT1" s="1">
        <f t="shared" si="0"/>
        <v>0</v>
      </c>
      <c r="CU1" s="1">
        <f t="shared" si="0"/>
        <v>0</v>
      </c>
      <c r="CV1" s="1">
        <f t="shared" si="0"/>
        <v>0</v>
      </c>
      <c r="CW1" s="1">
        <f t="shared" si="0"/>
        <v>0</v>
      </c>
      <c r="CX1" s="1">
        <f t="shared" si="0"/>
        <v>0</v>
      </c>
      <c r="CY1" s="1">
        <f t="shared" si="0"/>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c r="DU1" s="1"/>
      <c r="DV1" s="1"/>
    </row>
    <row r="2" spans="1:126" ht="18" x14ac:dyDescent="0.3">
      <c r="H2" s="41" t="s">
        <v>24</v>
      </c>
      <c r="I2" s="41"/>
      <c r="J2" s="41"/>
      <c r="N2" s="41" t="s">
        <v>25</v>
      </c>
      <c r="O2" s="41"/>
      <c r="P2" s="41"/>
      <c r="Q2" s="41"/>
      <c r="R2" s="42" t="s">
        <v>26</v>
      </c>
      <c r="S2" s="42"/>
      <c r="U2" s="41" t="s">
        <v>27</v>
      </c>
      <c r="V2" s="41"/>
      <c r="W2" s="41"/>
      <c r="X2" s="41"/>
      <c r="Y2" s="41" t="s">
        <v>28</v>
      </c>
      <c r="Z2" s="41"/>
      <c r="AA2" s="41"/>
      <c r="AB2" s="41"/>
      <c r="AC2" s="41"/>
      <c r="AD2" s="41"/>
      <c r="AE2" s="41"/>
      <c r="AF2" s="41"/>
      <c r="AG2" s="41"/>
      <c r="AH2" s="41"/>
      <c r="AI2" s="41"/>
      <c r="AJ2" s="41"/>
      <c r="AK2" s="41"/>
      <c r="AL2" s="41"/>
      <c r="AM2" s="41" t="s">
        <v>29</v>
      </c>
      <c r="AN2" s="41"/>
      <c r="AO2" s="41"/>
      <c r="AP2" s="41"/>
      <c r="AQ2" s="41"/>
      <c r="AR2" s="41" t="s">
        <v>30</v>
      </c>
      <c r="AS2" s="41"/>
      <c r="AT2" s="41"/>
      <c r="AU2" s="41"/>
      <c r="AV2" s="41"/>
      <c r="AW2" s="41"/>
      <c r="AX2" s="2" t="e">
        <f>YEAR(F2)&amp;"-"&amp;VLOOKUP(MONTH(F2),month_2digit,2,FALSE)&amp;"-"&amp;VLOOKUP(DAY(F2),day_2digit,2,FALSE)</f>
        <v>#N/A</v>
      </c>
      <c r="AY2" s="2" t="e">
        <f>IF(AND(format_date=TRUE,format_date_chrome="en-US"),VLOOKUP(MONTH(O2),month_2digit,2,FALSE)&amp;VLOOKUP(DAY(O2),day_2digit,2,FALSE)&amp;YEAR(O2),IF(AND(format_date=TRUE,format_date_chrome="id"),VLOOKUP(DAY(O2),day_2digit,2,FALSE)&amp;VLOOKUP(MONTH(O2),month_2digit,2,FALSE)&amp;YEAR(O2),VLOOKUP(DAY(O2),day_2digit,2,FALSE)&amp;VLOOKUP(MONTH(O2),month_2digit,2,FALSE)&amp;","&amp;YEAR(O2)))</f>
        <v>#N/A</v>
      </c>
      <c r="AZ2" s="2" t="e">
        <f>IF(AND(format_date=TRUE,format_date_chrome="en-US"),VLOOKUP(MONTH(AP2),month_2digit,2,FALSE)&amp;VLOOKUP(DAY(AP2),day_2digit,2,FALSE)&amp;YEAR(AP2),IF(AND(format_date=TRUE,format_date_chrome="id"),VLOOKUP(DAY(AP2),day_2digit,2,FALSE)&amp;VLOOKUP(MONTH(AP2),month_2digit,2,FALSE)&amp;YEAR(AP2),VLOOKUP(DAY(AP2),day_2digit,2,FALSE)&amp;VLOOKUP(MONTH(AP2),month_2digit,2,FALSE)&amp;","&amp;YEAR(AP2)))</f>
        <v>#N/A</v>
      </c>
      <c r="BA2" s="2" t="e">
        <f>IF(AND(format_date=TRUE,format_date_chrome="en-US"),VLOOKUP(MONTH(AQ2),month_2digit,2,FALSE)&amp;VLOOKUP(DAY(AQ2),day_2digit,2,FALSE)&amp;YEAR(AQ2),IF(AND(format_date=TRUE,format_date_chrome="id"),VLOOKUP(DAY(AQ2),day_2digit,2,FALSE)&amp;VLOOKUP(MONTH(AQ2),month_2digit,2,FALSE)&amp;YEAR(AQ2),VLOOKUP(DAY(AQ2),day_2digit,2,FALSE)&amp;VLOOKUP(MONTH(AQ2),month_2digit,2,FALSE)&amp;","&amp;YEAR(AQ2)))</f>
        <v>#N/A</v>
      </c>
      <c r="BB2" s="2" t="e">
        <f>IF(AND(format_date=TRUE,format_date_chrome="en-US"),VLOOKUP(MONTH(AU2),month_2digit,2,FALSE)&amp;VLOOKUP(DAY(AU2),day_2digit,2,FALSE)&amp;YEAR(AU2),IF(AND(format_date=TRUE,format_date_chrome="id"),VLOOKUP(DAY(AU2),day_2digit,2,FALSE)&amp;VLOOKUP(MONTH(AU2),month_2digit,2,FALSE)&amp;YEAR(AU2),VLOOKUP(DAY(AU2),day_2digit,2,FALSE)&amp;VLOOKUP(MONTH(AU2),month_2digit,2,FALSE)&amp;","&amp;YEAR(AU2)))</f>
        <v>#N/A</v>
      </c>
      <c r="BC2" s="2" t="e">
        <f>IF(AND(format_date=TRUE,format_date_chrome="en-US"),VLOOKUP(MONTH(AV2),month_2digit,2,FALSE)&amp;VLOOKUP(DAY(AV2),day_2digit,2,FALSE)&amp;YEAR(AV2),IF(AND(format_date=TRUE,format_date_chrome="id"),VLOOKUP(DAY(AV2),day_2digit,2,FALSE)&amp;VLOOKUP(MONTH(AV2),month_2digit,2,FALSE)&amp;YEAR(AV2),VLOOKUP(DAY(AV2),day_2digit,2,FALSE)&amp;VLOOKUP(MONTH(AV2),month_2digit,2,FALSE)&amp;","&amp;YEAR(AV2)))</f>
        <v>#N/A</v>
      </c>
      <c r="BD2" s="2" t="e">
        <f>IF(AND(format_date=TRUE,format_date_chrome="en-US"),VLOOKUP(MONTH(F2),month_2digit,2,FALSE)&amp;VLOOKUP(DAY(F2),day_2digit,2,FALSE)&amp;YEAR(F2),IF(AND(format_date=TRUE,format_date_chrome="id"),VLOOKUP(DAY(F2),day_2digit,2,FALSE)&amp;VLOOKUP(MONTH(F2),month_2digit,2,FALSE)&amp;YEAR(F2),VLOOKUP(DAY(F2),day_2digit,2,FALSE)&amp;VLOOKUP(MONTH(F2),month_2digit,2,FALSE)&amp;","&amp;YEAR(F2)))</f>
        <v>#N/A</v>
      </c>
      <c r="BE2" s="2" t="e">
        <f>VLOOKUP(M2,admin_prep!$AB$2:$AC$10,2,FALSE)</f>
        <v>#N/A</v>
      </c>
      <c r="BF2" s="2" t="e">
        <f>VLOOKUP(X2,admin_prep!$AF$2:$AG$8,2,FALSE)</f>
        <v>#N/A</v>
      </c>
      <c r="BG2" s="10" t="s">
        <v>32</v>
      </c>
      <c r="BH2" s="2" t="str">
        <f>VLOOKUP(MONTH(F2),admin_prep!$A$18:$B$29,2,FALSE)</f>
        <v>Jan</v>
      </c>
      <c r="BI2" s="17" t="str" cm="1">
        <f t="array" ref="BI2">UnixFromDate(F2)&amp;"000"</f>
        <v>-2209161600000</v>
      </c>
      <c r="BJ2" s="2">
        <f>YEAR(F2)</f>
        <v>1900</v>
      </c>
      <c r="BK2" s="10" t="s">
        <v>36</v>
      </c>
      <c r="BL2" s="10" t="s">
        <v>37</v>
      </c>
      <c r="BM2" s="10" t="s">
        <v>38</v>
      </c>
      <c r="BN2" s="10" t="s">
        <v>39</v>
      </c>
      <c r="BO2" s="10" t="s">
        <v>40</v>
      </c>
      <c r="BP2" s="10" t="s">
        <v>41</v>
      </c>
      <c r="BQ2" s="1"/>
      <c r="BR2" s="1"/>
      <c r="BS2" s="1"/>
      <c r="BT2" s="1"/>
      <c r="BU2" s="1"/>
      <c r="BV2" s="1"/>
      <c r="BW2" s="1"/>
      <c r="BX2" s="1"/>
      <c r="BY2" s="1"/>
      <c r="BZ2" s="1">
        <f>IF(OR($B2="Tidak",$B2=""),0,IF(D2="",1,IF(LEN(D2)&lt;&gt;16,1,0)))</f>
        <v>0</v>
      </c>
      <c r="CA2" s="1">
        <f>IF(OR($B2="Tidak",$B2=""),0,IF($E2="",1,0))</f>
        <v>0</v>
      </c>
      <c r="CB2" s="1">
        <f>IF(OR($B2="Tidak",$B2=""),0,IF(F2="",1,IFERROR(VLOOKUP(MONTH(F2),admin_prep!$A$2:$C$13,3,FALSE),1)))</f>
        <v>0</v>
      </c>
      <c r="CC2" s="1">
        <f>IF(OR($B2="Tidak",$B2=""),0,IF($G2="",1,0))</f>
        <v>0</v>
      </c>
      <c r="CD2" s="1">
        <f>IF(OR($B2="Tidak",$B2=""),0,IF(H2="",1,IF(AND(H2&lt;250,H2&gt;0),0,1)))</f>
        <v>0</v>
      </c>
      <c r="CE2" s="1">
        <f>IF(OR($B2="Tidak",$B2=""),0,IF(I2="",1,IF(AND(I2&lt;250,I2&gt;0),0,1)))</f>
        <v>0</v>
      </c>
      <c r="CF2" s="1">
        <f>IF(OR($B2="Tidak",$B2=""),0,IF(J2="",1,IF(ISNUMBER(FIND("/",J2)),0,1)))</f>
        <v>0</v>
      </c>
      <c r="CG2" s="1">
        <f>IF(OR($B2="Tidak",$B2=""),0,IF(K2="",1,IFERROR(VLOOKUP(K2,admin_prep!$M$2:$N$3,2,FALSE),1)))</f>
        <v>0</v>
      </c>
      <c r="CH2" s="1">
        <f>IF(OR($B2="Tidak",$B2=""),0,IF(L2="",1,IFERROR(VLOOKUP(L2,admin_prep!$M$2:$N$3,2,FALSE),1)))</f>
        <v>0</v>
      </c>
      <c r="CI2" s="1">
        <f>IF(OR($B2="Tidak",$B2=""),0,IF(M2="",1,IFERROR(VLOOKUP(M2,admin_prep!$AB$2:$AR$10,15,FALSE),1)))</f>
        <v>0</v>
      </c>
      <c r="CJ2" s="1">
        <f>IF(OR($B2="Tidak",$B2=""),0,IF(N2="",1,IFERROR(VLOOKUP(N2,admin_prep!$AD$2:$AR$4,15,FALSE),1)))</f>
        <v>0</v>
      </c>
      <c r="CK2" s="1">
        <f>IF(OR($B2="Tidak",$B2=""),0,IF(O2="",1,IFERROR(VLOOKUP(MONTH(O2),admin_prep!$A$2:$C$13,3,FALSE),1)))</f>
        <v>0</v>
      </c>
      <c r="CL2" s="1">
        <f>IF(OR($B2="Tidak",$B2=""),0,IF(P2="",1,0))</f>
        <v>0</v>
      </c>
      <c r="CM2" s="1">
        <f>IF(OR($B2="Tidak",$B2=""),0,IF(Q2="",1,0))</f>
        <v>0</v>
      </c>
      <c r="CN2" s="1">
        <f>IF(OR($B2="Tidak",$B2=""),0,IF(R2="",1,IFERROR(VLOOKUP(R2,admin_prep!$M$2:$N$3,2,FALSE),1)))</f>
        <v>0</v>
      </c>
      <c r="CO2" s="1">
        <f>IF(OR($B2="Tidak",$B2=""),0,IF(S2="",1,IFERROR(VLOOKUP(S2,admin_prep!$M$2:$N$3,2,FALSE),1)))</f>
        <v>0</v>
      </c>
      <c r="CP2" s="1">
        <f>IF(OR($B2="Tidak",$B2=""),0,IF(T2="",1,IFERROR(VLOOKUP(T2,admin_prep!$AO$2:$AR$3,4,FALSE),1)))</f>
        <v>0</v>
      </c>
      <c r="CQ2" s="1">
        <f>IF(OR($B2="Tidak",$B2=""),0,IF($T2&lt;&gt;"Setuju",0,IF(U2="",1,IFERROR(VLOOKUP(U2,admin_prep!$AE$2:$AR$3,14,FALSE),1))))</f>
        <v>0</v>
      </c>
      <c r="CR2" s="1">
        <f>IF(OR($B2="Tidak",$B2=""),0,IF($T2&lt;&gt;"Setuju",0,IF($U2&lt;&gt;"Memulai kembali",0,IF(V2="",0,IFERROR(VLOOKUP(V2,admin_prep!$AH$2:$AR$3,11,FALSE),1)))))</f>
        <v>0</v>
      </c>
      <c r="CS2" s="1">
        <f>IF(OR($B2="Tidak",$B2=""),0,IF($T2&lt;&gt;"Setuju",0,IF($U2&lt;&gt;"Memulai kembali",0,IF(W2="",0,IFERROR(VLOOKUP(W2,admin_prep!$AI$2:$AR$6,10,FALSE),1)))))</f>
        <v>0</v>
      </c>
      <c r="CT2" s="1">
        <f>IF(OR($B2="Tidak",$B2=""),0,IF($T2&lt;&gt;"Setuju",0,IF($U2&lt;&gt;"Memulai kembali",0,IF(X2="",0,IFERROR(VLOOKUP(X2,admin_prep!$AF$2:$AR$8,12,FALSE),1)))))</f>
        <v>0</v>
      </c>
      <c r="CU2" s="1">
        <f>IF(OR($B2="Tidak",$B2=""),0,IF($T2&lt;&gt;"Setuju",0,IF(Y2="",0,IFERROR(VLOOKUP(Y2,admin_prep!$AJ$2:$AR$4,9,FALSE),1))))</f>
        <v>0</v>
      </c>
      <c r="CV2" s="1">
        <f>IF(OR($B2="Tidak",$B2=""),0,IF($T2&lt;&gt;"Setuju",0,IF(Z2="",0,IF(AND(Z2&lt;50,Z2&gt;=0),0,1))))</f>
        <v>0</v>
      </c>
      <c r="CW2" s="1">
        <f>IF(OR($B2="Tidak",$B2=""),0,IF($T2&lt;&gt;"Setuju",0,IF(AA2="",1,IF(AND(AA2&lt;50,AA2&gt;=0),0,1))))</f>
        <v>0</v>
      </c>
      <c r="CX2" s="1">
        <f>IF(OR($B2="Tidak",$B2=""),0,IF($T2&lt;&gt;"Setuju",0,IF(AB2="",1,IFERROR(VLOOKUP(AB2,admin_prep!$AK$2:$AR$4,8,FALSE),1))))</f>
        <v>0</v>
      </c>
      <c r="CY2" s="1">
        <f>IF(OR($B2="Tidak",$B2=""),0,IF($T2&lt;&gt;"Setuju",0,IF(AC2="",1,IFERROR(VLOOKUP(AC2,admin_prep!$AK$2:$AR$4,8,FALSE),1))))</f>
        <v>0</v>
      </c>
      <c r="CZ2" s="1">
        <f>IF(OR($B2="Tidak",$B2=""),0,IF($T2&lt;&gt;"Setuju",0,IF(AD2="",1,IFERROR(VLOOKUP(AD2,admin_prep!$AK$2:$AR$4,8,FALSE),1))))</f>
        <v>0</v>
      </c>
      <c r="DA2" s="1">
        <f>IF(OR($B2="Tidak",$B2=""),0,IF($T2&lt;&gt;"Setuju",0,IF($AD2&lt;&gt;"Ya",0,IF(AE2="",0,IFERROR(VLOOKUP(AE2,admin_prep!$AK$2:$AR$4,8,FALSE),1)))))</f>
        <v>0</v>
      </c>
      <c r="DB2" s="1">
        <f>IF(OR($B2="Tidak",$B2=""),0,IF($T2&lt;&gt;"Setuju",0,IF($AD2&lt;&gt;"Ya",0,IF(AF2="",0,IFERROR(VLOOKUP(AF2,admin_prep!$AK$2:$AR$4,8,FALSE),1)))))</f>
        <v>0</v>
      </c>
      <c r="DC2" s="1">
        <f>IF(OR($B2="Tidak",$B2=""),0,IF($T2&lt;&gt;"Setuju",0,IF($AD2&lt;&gt;"Ya",0,IF(AG2="",0,IFERROR(VLOOKUP(AG2,admin_prep!$AK$2:$AR$4,8,FALSE),1)))))</f>
        <v>0</v>
      </c>
      <c r="DD2" s="1">
        <f>IF(OR($B2="Tidak",$B2=""),0,IF($T2&lt;&gt;"Setuju",0,IF($AD2&lt;&gt;"Ya",0,IF(AH2="",0,IFERROR(VLOOKUP(AH2,admin_prep!$AK$2:$AR$4,8,FALSE),1)))))</f>
        <v>0</v>
      </c>
      <c r="DE2" s="1">
        <f>IF(OR($B2="Tidak",$B2=""),0,IF($T2&lt;&gt;"Setuju",0,IF($AD2&lt;&gt;"Ya",0,IF(AI2="",0,IFERROR(VLOOKUP(AI2,admin_prep!$AK$2:$AR$4,8,FALSE),1)))))</f>
        <v>0</v>
      </c>
      <c r="DF2" s="1">
        <f>IF(OR($B2="Tidak",$B2=""),0,IF($T2&lt;&gt;"Setuju",0,IF(AJ2="",1,IFERROR(VLOOKUP(AJ2,admin_prep!$AL$2:$AR$3,7,FALSE),1))))</f>
        <v>0</v>
      </c>
      <c r="DG2" s="1">
        <f>IF(OR($B2="Tidak",$B2=""),0,IF($T2&lt;&gt;"Setuju",0,IF(AK2="",1,IFERROR(VLOOKUP(AK2,admin_prep!$M$2:$N$3,2,FALSE),1))))</f>
        <v>0</v>
      </c>
      <c r="DH2" s="1">
        <f>IF(OR($B2="Tidak",$B2=""),0,IF($T2&lt;&gt;"Setuju",0,IF(AL2="",1,IF(AND(AL2&lt;50,AL2&gt;0),0,1))))</f>
        <v>0</v>
      </c>
      <c r="DI2" s="1">
        <f>IF(OR($B2="Tidak",$B2=""),0,IF($T2&lt;&gt;"Setuju",0,IF(AM2="",1,IFERROR(VLOOKUP(AM2,admin_prep!$AH$2:$AR$3,11,FALSE),1))))</f>
        <v>0</v>
      </c>
      <c r="DJ2" s="1">
        <f>IF(OR($B2="Tidak",$B2=""),0,IF($T2&lt;&gt;"Setuju",0,IF(AN2="",1,IFERROR(VLOOKUP(AN2,admin_prep!$AM$2:$AR$3,6,FALSE),1))))</f>
        <v>0</v>
      </c>
      <c r="DK2" s="1">
        <f>IF(OR($B2="Tidak",$B2=""),0,IF($T2&lt;&gt;"Setuju",0,IF(AO2="",1,IF(AND(AO2&lt;10,AO2&gt;=0),0,1))))</f>
        <v>0</v>
      </c>
      <c r="DL2" s="1">
        <f>IF(OR($B2="Tidak",$B2=""),0,IF($T2&lt;&gt;"Setuju",0,IF(AP2="",1,IFERROR(VLOOKUP(MONTH(AP2),admin_prep!$A$2:$C$13,3,FALSE),1))))</f>
        <v>0</v>
      </c>
      <c r="DM2" s="1">
        <f>IF(OR($B2="Tidak",$B2=""),0,IF($T2&lt;&gt;"Setuju",0,IF(AQ2="",1,IFERROR(VLOOKUP(MONTH(AQ2),admin_prep!$A$2:$C$13,3,FALSE),1))))</f>
        <v>0</v>
      </c>
      <c r="DN2" s="1">
        <f>IF(OR($B2="Tidak",$B2=""),0,IF($T2&lt;&gt;"Setuju",0,IF(AR2="",0,IFERROR(VLOOKUP(AR2,admin_prep!$M$2:$N$3,2,FALSE),1))))</f>
        <v>0</v>
      </c>
      <c r="DO2" s="1"/>
      <c r="DP2" s="1"/>
      <c r="DQ2" s="1">
        <f>IF(OR($B2="Tidak",$B2=""),0,IF($T2&lt;&gt;"Setuju",0,IF($AR2&lt;&gt;"Ya",0,IF(AU2="",0,IFERROR(VLOOKUP(MONTH(AU2),admin_prep!$A$2:$C$13,3,FALSE),1)))))</f>
        <v>0</v>
      </c>
      <c r="DR2" s="1">
        <f>IF(OR($B2="Tidak",$B2=""),0,IF($T2&lt;&gt;"Setuju",0,IF($AR2&lt;&gt;"Ya",0,IF(AV2="",0,IFERROR(VLOOKUP(MONTH(AV2),admin_prep!$A$2:$C$13,3,FALSE),1)))))</f>
        <v>0</v>
      </c>
      <c r="DS2" s="1">
        <f>IF(OR($B2="Tidak",$B2=""),0,IF($T2&lt;&gt;"Setuju",0,IF($AR2&lt;&gt;"Ya",0,IF(AW2="",0,IFERROR(VLOOKUP(AW2,admin_prep!$AN$2:$AR$3,5,FALSE),1)))))</f>
        <v>0</v>
      </c>
      <c r="DT2" s="1"/>
      <c r="DU2" s="1"/>
      <c r="DV2" s="1"/>
    </row>
    <row r="3" spans="1:126" ht="99.6" customHeight="1" x14ac:dyDescent="0.3">
      <c r="A3" s="30" t="s">
        <v>0</v>
      </c>
      <c r="B3" s="30" t="s">
        <v>1</v>
      </c>
      <c r="C3" s="32" t="s">
        <v>6</v>
      </c>
      <c r="D3" s="30" t="s">
        <v>2</v>
      </c>
      <c r="E3" s="30" t="s">
        <v>8</v>
      </c>
      <c r="F3" s="30" t="s">
        <v>20</v>
      </c>
      <c r="G3" s="30" t="s">
        <v>42</v>
      </c>
      <c r="H3" s="30" t="s">
        <v>43</v>
      </c>
      <c r="I3" s="30" t="s">
        <v>44</v>
      </c>
      <c r="J3" s="30" t="s">
        <v>45</v>
      </c>
      <c r="K3" s="30" t="s">
        <v>46</v>
      </c>
      <c r="L3" s="30" t="s">
        <v>47</v>
      </c>
      <c r="M3" s="30" t="s">
        <v>31</v>
      </c>
      <c r="N3" s="30" t="s">
        <v>32</v>
      </c>
      <c r="O3" s="30" t="s">
        <v>48</v>
      </c>
      <c r="P3" s="30" t="s">
        <v>49</v>
      </c>
      <c r="Q3" s="30" t="s">
        <v>50</v>
      </c>
      <c r="R3" s="30" t="s">
        <v>51</v>
      </c>
      <c r="S3" s="30" t="s">
        <v>52</v>
      </c>
      <c r="T3" s="30" t="s">
        <v>53</v>
      </c>
      <c r="U3" s="30" t="s">
        <v>33</v>
      </c>
      <c r="V3" s="11" t="s">
        <v>35</v>
      </c>
      <c r="W3" s="11" t="s">
        <v>36</v>
      </c>
      <c r="X3" s="11" t="s">
        <v>34</v>
      </c>
      <c r="Y3" s="11" t="s">
        <v>37</v>
      </c>
      <c r="Z3" s="11" t="s">
        <v>54</v>
      </c>
      <c r="AA3" s="30" t="s">
        <v>55</v>
      </c>
      <c r="AB3" s="30" t="s">
        <v>38</v>
      </c>
      <c r="AC3" s="30" t="s">
        <v>56</v>
      </c>
      <c r="AD3" s="30" t="s">
        <v>57</v>
      </c>
      <c r="AE3" s="11" t="s">
        <v>58</v>
      </c>
      <c r="AF3" s="11" t="s">
        <v>59</v>
      </c>
      <c r="AG3" s="11" t="s">
        <v>60</v>
      </c>
      <c r="AH3" s="11" t="s">
        <v>61</v>
      </c>
      <c r="AI3" s="11" t="s">
        <v>62</v>
      </c>
      <c r="AJ3" s="30" t="s">
        <v>39</v>
      </c>
      <c r="AK3" s="30" t="s">
        <v>63</v>
      </c>
      <c r="AL3" s="30" t="s">
        <v>64</v>
      </c>
      <c r="AM3" s="30" t="s">
        <v>65</v>
      </c>
      <c r="AN3" s="30" t="s">
        <v>40</v>
      </c>
      <c r="AO3" s="30" t="s">
        <v>66</v>
      </c>
      <c r="AP3" s="30" t="s">
        <v>67</v>
      </c>
      <c r="AQ3" s="30" t="s">
        <v>68</v>
      </c>
      <c r="AR3" s="11" t="s">
        <v>69</v>
      </c>
      <c r="AS3" s="11" t="s">
        <v>70</v>
      </c>
      <c r="AT3" s="11" t="s">
        <v>71</v>
      </c>
      <c r="AU3" s="11" t="s">
        <v>72</v>
      </c>
      <c r="AV3" s="11" t="s">
        <v>73</v>
      </c>
      <c r="AW3" s="11" t="s">
        <v>41</v>
      </c>
      <c r="AX3" s="31" t="s">
        <v>74</v>
      </c>
      <c r="AY3" s="31" t="s">
        <v>75</v>
      </c>
      <c r="AZ3" s="31" t="s">
        <v>76</v>
      </c>
      <c r="BA3" s="31" t="s">
        <v>77</v>
      </c>
      <c r="BB3" s="31" t="s">
        <v>78</v>
      </c>
      <c r="BC3" s="31" t="s">
        <v>79</v>
      </c>
      <c r="BD3" s="33" t="s">
        <v>21</v>
      </c>
      <c r="BE3" s="33" t="s">
        <v>31</v>
      </c>
      <c r="BF3" s="33" t="s">
        <v>34</v>
      </c>
      <c r="BG3" s="33" t="s">
        <v>80</v>
      </c>
      <c r="BH3" s="31" t="s">
        <v>238</v>
      </c>
      <c r="BI3" s="31" t="s">
        <v>21</v>
      </c>
      <c r="BJ3" s="31" t="s">
        <v>239</v>
      </c>
      <c r="BU3" s="1"/>
      <c r="BV3" s="1"/>
      <c r="BW3" s="1"/>
      <c r="BX3" s="1"/>
      <c r="BY3" s="1"/>
      <c r="BZ3" s="1" t="s">
        <v>2</v>
      </c>
      <c r="CA3" s="1" t="s">
        <v>8</v>
      </c>
      <c r="CB3" s="1" t="s">
        <v>20</v>
      </c>
      <c r="CC3" s="1" t="s">
        <v>42</v>
      </c>
      <c r="CD3" s="1" t="s">
        <v>95</v>
      </c>
      <c r="CE3" s="1" t="s">
        <v>96</v>
      </c>
      <c r="CF3" s="1" t="s">
        <v>97</v>
      </c>
      <c r="CG3" s="1" t="s">
        <v>98</v>
      </c>
      <c r="CH3" s="1" t="s">
        <v>99</v>
      </c>
      <c r="CI3" s="1" t="s">
        <v>100</v>
      </c>
      <c r="CJ3" s="1" t="s">
        <v>101</v>
      </c>
      <c r="CK3" s="1" t="s">
        <v>102</v>
      </c>
      <c r="CL3" s="1" t="s">
        <v>103</v>
      </c>
      <c r="CM3" s="1" t="s">
        <v>104</v>
      </c>
      <c r="CN3" s="1" t="s">
        <v>105</v>
      </c>
      <c r="CO3" s="1" t="s">
        <v>106</v>
      </c>
      <c r="CP3" s="1" t="s">
        <v>107</v>
      </c>
      <c r="CQ3" s="1" t="s">
        <v>108</v>
      </c>
      <c r="CR3" s="1" t="s">
        <v>109</v>
      </c>
      <c r="CS3" s="1" t="s">
        <v>110</v>
      </c>
      <c r="CT3" s="1" t="s">
        <v>111</v>
      </c>
      <c r="CU3" s="1" t="s">
        <v>112</v>
      </c>
      <c r="CV3" s="1" t="s">
        <v>113</v>
      </c>
      <c r="CW3" s="1" t="s">
        <v>114</v>
      </c>
      <c r="CX3" s="1" t="s">
        <v>115</v>
      </c>
      <c r="CY3" s="1" t="s">
        <v>116</v>
      </c>
      <c r="CZ3" s="1" t="s">
        <v>117</v>
      </c>
      <c r="DA3" s="1" t="s">
        <v>118</v>
      </c>
      <c r="DB3" s="1" t="s">
        <v>119</v>
      </c>
      <c r="DC3" s="1" t="s">
        <v>120</v>
      </c>
      <c r="DD3" s="1" t="s">
        <v>121</v>
      </c>
      <c r="DE3" s="1" t="s">
        <v>122</v>
      </c>
      <c r="DF3" s="1" t="s">
        <v>123</v>
      </c>
      <c r="DG3" s="1" t="s">
        <v>124</v>
      </c>
      <c r="DH3" s="1" t="s">
        <v>125</v>
      </c>
      <c r="DI3" s="1" t="s">
        <v>126</v>
      </c>
      <c r="DJ3" s="1" t="s">
        <v>127</v>
      </c>
      <c r="DK3" s="1" t="s">
        <v>128</v>
      </c>
      <c r="DL3" s="1" t="s">
        <v>129</v>
      </c>
      <c r="DM3" s="1" t="s">
        <v>130</v>
      </c>
      <c r="DN3" s="1" t="s">
        <v>69</v>
      </c>
      <c r="DO3" s="1" t="s">
        <v>131</v>
      </c>
      <c r="DP3" s="1" t="s">
        <v>132</v>
      </c>
      <c r="DQ3" s="1" t="s">
        <v>133</v>
      </c>
      <c r="DR3" s="1" t="s">
        <v>134</v>
      </c>
      <c r="DS3" s="1" t="s">
        <v>135</v>
      </c>
      <c r="DT3" s="1"/>
      <c r="DU3" s="1"/>
      <c r="DV3" s="1"/>
    </row>
    <row r="4" spans="1:126" x14ac:dyDescent="0.3">
      <c r="A4" s="34">
        <v>1</v>
      </c>
      <c r="B4" s="38" t="s">
        <v>335</v>
      </c>
      <c r="C4" s="36"/>
      <c r="D4" s="5"/>
      <c r="E4" s="4"/>
      <c r="F4" s="8"/>
      <c r="G4" s="4"/>
      <c r="H4" s="4"/>
      <c r="I4" s="4"/>
      <c r="J4" s="4"/>
      <c r="K4" s="4"/>
      <c r="L4" s="4"/>
      <c r="M4" s="4"/>
      <c r="N4" s="4"/>
      <c r="O4" s="8"/>
      <c r="P4" s="4"/>
      <c r="Q4" s="4"/>
      <c r="R4" s="4"/>
      <c r="S4" s="4"/>
      <c r="T4" s="4"/>
      <c r="U4" s="4"/>
      <c r="V4" s="4"/>
      <c r="W4" s="4"/>
      <c r="X4" s="4"/>
      <c r="Y4" s="4"/>
      <c r="Z4" s="4"/>
      <c r="AA4" s="4"/>
      <c r="AB4" s="4"/>
      <c r="AC4" s="4"/>
      <c r="AD4" s="4"/>
      <c r="AE4" s="4"/>
      <c r="AF4" s="4"/>
      <c r="AG4" s="4"/>
      <c r="AH4" s="4"/>
      <c r="AI4" s="4"/>
      <c r="AJ4" s="4"/>
      <c r="AK4" s="4"/>
      <c r="AL4" s="4"/>
      <c r="AM4" s="4"/>
      <c r="AN4" s="4"/>
      <c r="AO4" s="4"/>
      <c r="AP4" s="8"/>
      <c r="AQ4" s="8"/>
      <c r="AR4" s="4"/>
      <c r="AS4" s="4"/>
      <c r="AT4" s="4"/>
      <c r="AU4" s="8"/>
      <c r="AV4" s="8"/>
      <c r="AW4" s="4"/>
      <c r="AX4" s="2"/>
      <c r="AY4" s="2"/>
      <c r="AZ4" s="2"/>
      <c r="BA4" s="2"/>
      <c r="BB4" s="2"/>
      <c r="BC4" s="2"/>
      <c r="BD4" s="2"/>
      <c r="BE4" s="2"/>
      <c r="BF4" s="2"/>
      <c r="BG4" s="2"/>
      <c r="BH4" s="2"/>
      <c r="BI4" s="17"/>
      <c r="BJ4" s="2"/>
      <c r="BK4" s="10" t="s">
        <v>36</v>
      </c>
      <c r="BL4" s="10" t="s">
        <v>37</v>
      </c>
      <c r="BM4" s="10" t="s">
        <v>38</v>
      </c>
      <c r="BN4" s="10" t="s">
        <v>39</v>
      </c>
      <c r="BO4" s="10" t="s">
        <v>40</v>
      </c>
      <c r="BP4" s="10" t="s">
        <v>41</v>
      </c>
      <c r="BU4" s="1"/>
      <c r="BV4" s="1"/>
      <c r="BW4" s="1"/>
      <c r="BX4" s="1"/>
      <c r="BY4" s="1"/>
      <c r="BZ4" s="1"/>
      <c r="CA4" s="1"/>
      <c r="CB4" s="1"/>
      <c r="CC4" s="1"/>
      <c r="CD4" s="1"/>
      <c r="DT4" s="1"/>
      <c r="DU4" s="1"/>
      <c r="DV4" s="1"/>
    </row>
    <row r="5" spans="1:126" x14ac:dyDescent="0.3">
      <c r="A5" s="34">
        <v>2</v>
      </c>
      <c r="B5" s="38"/>
      <c r="C5" s="36"/>
      <c r="D5" s="5"/>
      <c r="E5" s="4"/>
      <c r="F5" s="8"/>
      <c r="G5" s="4"/>
      <c r="H5" s="4"/>
      <c r="I5" s="4"/>
      <c r="J5" s="4"/>
      <c r="K5" s="4"/>
      <c r="L5" s="4"/>
      <c r="M5" s="4"/>
      <c r="N5" s="4"/>
      <c r="O5" s="8"/>
      <c r="P5" s="4"/>
      <c r="Q5" s="4"/>
      <c r="R5" s="4"/>
      <c r="S5" s="4"/>
      <c r="T5" s="4"/>
      <c r="U5" s="4"/>
      <c r="V5" s="4"/>
      <c r="W5" s="4"/>
      <c r="X5" s="4"/>
      <c r="Y5" s="4"/>
      <c r="Z5" s="4"/>
      <c r="AA5" s="4"/>
      <c r="AB5" s="4"/>
      <c r="AC5" s="4"/>
      <c r="AD5" s="4"/>
      <c r="AE5" s="4"/>
      <c r="AF5" s="4"/>
      <c r="AG5" s="4"/>
      <c r="AH5" s="4"/>
      <c r="AI5" s="4"/>
      <c r="AJ5" s="4"/>
      <c r="AK5" s="4"/>
      <c r="AL5" s="4"/>
      <c r="AM5" s="4"/>
      <c r="AN5" s="4"/>
      <c r="AO5" s="4"/>
      <c r="AP5" s="8"/>
      <c r="AQ5" s="8"/>
      <c r="AR5" s="4"/>
      <c r="AS5" s="4"/>
      <c r="AT5" s="4"/>
      <c r="AU5" s="8"/>
      <c r="AV5" s="8"/>
      <c r="AW5" s="4"/>
      <c r="AX5" s="2"/>
      <c r="AY5" s="2"/>
      <c r="AZ5" s="2"/>
      <c r="BA5" s="2"/>
      <c r="BB5" s="2"/>
      <c r="BC5" s="2"/>
      <c r="BD5" s="2"/>
      <c r="BE5" s="2"/>
      <c r="BF5" s="2"/>
      <c r="BG5" s="2"/>
      <c r="BH5" s="2"/>
      <c r="BI5" s="17"/>
      <c r="BJ5" s="2"/>
      <c r="BU5" s="1"/>
      <c r="BV5" s="1"/>
      <c r="BW5" s="1"/>
      <c r="BX5" s="1"/>
      <c r="BY5" s="1"/>
      <c r="DT5" s="1"/>
      <c r="DU5" s="1"/>
      <c r="DV5" s="1"/>
    </row>
    <row r="6" spans="1:126" x14ac:dyDescent="0.3">
      <c r="A6" s="34">
        <v>3</v>
      </c>
      <c r="B6" s="38"/>
      <c r="C6" s="2"/>
      <c r="D6" s="7"/>
      <c r="E6" s="4"/>
      <c r="F6" s="8"/>
      <c r="G6" s="4"/>
      <c r="H6" s="4"/>
      <c r="I6" s="4"/>
      <c r="J6" s="4"/>
      <c r="K6" s="4"/>
      <c r="L6" s="4"/>
      <c r="M6" s="4"/>
      <c r="N6" s="4"/>
      <c r="O6" s="8"/>
      <c r="P6" s="4"/>
      <c r="Q6" s="4"/>
      <c r="R6" s="4"/>
      <c r="S6" s="4"/>
      <c r="T6" s="4"/>
      <c r="U6" s="4"/>
      <c r="V6" s="4"/>
      <c r="W6" s="4"/>
      <c r="X6" s="4"/>
      <c r="Y6" s="4"/>
      <c r="Z6" s="4"/>
      <c r="AA6" s="4"/>
      <c r="AB6" s="4"/>
      <c r="AC6" s="4"/>
      <c r="AD6" s="4"/>
      <c r="AE6" s="4"/>
      <c r="AF6" s="4"/>
      <c r="AG6" s="4"/>
      <c r="AH6" s="4"/>
      <c r="AI6" s="4"/>
      <c r="AJ6" s="4"/>
      <c r="AK6" s="4"/>
      <c r="AL6" s="4"/>
      <c r="AM6" s="4"/>
      <c r="AN6" s="4"/>
      <c r="AO6" s="4"/>
      <c r="AP6" s="8"/>
      <c r="AQ6" s="8"/>
      <c r="AR6" s="4"/>
      <c r="AS6" s="4"/>
      <c r="AT6" s="4"/>
      <c r="AU6" s="8"/>
      <c r="AV6" s="8"/>
      <c r="AW6" s="4"/>
      <c r="AX6" s="2"/>
      <c r="AY6" s="2"/>
      <c r="AZ6" s="2"/>
      <c r="BA6" s="2"/>
      <c r="BB6" s="2"/>
      <c r="BC6" s="2"/>
      <c r="BD6" s="2"/>
      <c r="BE6" s="2"/>
      <c r="BF6" s="2"/>
      <c r="BG6" s="2"/>
      <c r="BH6" s="2"/>
      <c r="BI6" s="2"/>
      <c r="BJ6" s="2"/>
      <c r="BU6" s="1"/>
      <c r="BV6" s="1"/>
      <c r="BW6" s="1"/>
      <c r="BX6" s="1"/>
      <c r="BY6" s="1"/>
      <c r="DT6" s="1"/>
      <c r="DU6" s="1"/>
      <c r="DV6" s="1"/>
    </row>
    <row r="7" spans="1:126" x14ac:dyDescent="0.3">
      <c r="A7" s="34">
        <v>4</v>
      </c>
      <c r="B7" s="38"/>
      <c r="C7" s="2"/>
      <c r="D7" s="7"/>
      <c r="E7" s="4"/>
      <c r="F7" s="8"/>
      <c r="G7" s="4"/>
      <c r="H7" s="4"/>
      <c r="I7" s="4"/>
      <c r="J7" s="4"/>
      <c r="K7" s="4"/>
      <c r="L7" s="4"/>
      <c r="M7" s="4"/>
      <c r="N7" s="4"/>
      <c r="O7" s="8"/>
      <c r="P7" s="4"/>
      <c r="Q7" s="4"/>
      <c r="R7" s="4"/>
      <c r="S7" s="4"/>
      <c r="T7" s="4"/>
      <c r="U7" s="4"/>
      <c r="V7" s="4"/>
      <c r="W7" s="4"/>
      <c r="X7" s="4"/>
      <c r="Y7" s="4"/>
      <c r="Z7" s="4"/>
      <c r="AA7" s="4"/>
      <c r="AB7" s="4"/>
      <c r="AC7" s="4"/>
      <c r="AD7" s="4"/>
      <c r="AE7" s="4"/>
      <c r="AF7" s="4"/>
      <c r="AG7" s="4"/>
      <c r="AH7" s="4"/>
      <c r="AI7" s="4"/>
      <c r="AJ7" s="4"/>
      <c r="AK7" s="4"/>
      <c r="AL7" s="4"/>
      <c r="AM7" s="4"/>
      <c r="AN7" s="4"/>
      <c r="AO7" s="4"/>
      <c r="AP7" s="8"/>
      <c r="AQ7" s="8"/>
      <c r="AR7" s="4"/>
      <c r="AS7" s="4"/>
      <c r="AT7" s="4"/>
      <c r="AU7" s="8"/>
      <c r="AV7" s="8"/>
      <c r="AW7" s="4"/>
      <c r="AX7" s="2"/>
      <c r="AY7" s="2"/>
      <c r="AZ7" s="2"/>
      <c r="BA7" s="2"/>
      <c r="BB7" s="2"/>
      <c r="BC7" s="2"/>
      <c r="BD7" s="2"/>
      <c r="BE7" s="2"/>
      <c r="BF7" s="2"/>
      <c r="BG7" s="2"/>
      <c r="BH7" s="2"/>
      <c r="BI7" s="2"/>
      <c r="BJ7" s="2"/>
      <c r="BU7" s="1"/>
      <c r="BV7" s="1"/>
      <c r="BW7" s="1"/>
      <c r="BX7" s="1"/>
      <c r="BY7" s="1"/>
      <c r="DT7" s="1"/>
      <c r="DU7" s="1"/>
      <c r="DV7" s="1"/>
    </row>
    <row r="8" spans="1:126" x14ac:dyDescent="0.3">
      <c r="A8" s="34">
        <v>5</v>
      </c>
      <c r="B8" s="38"/>
      <c r="C8" s="2"/>
      <c r="D8" s="7"/>
      <c r="E8" s="4"/>
      <c r="F8" s="8"/>
      <c r="G8" s="4"/>
      <c r="H8" s="4"/>
      <c r="I8" s="4"/>
      <c r="J8" s="4"/>
      <c r="K8" s="4"/>
      <c r="L8" s="4"/>
      <c r="M8" s="4"/>
      <c r="N8" s="4"/>
      <c r="O8" s="8"/>
      <c r="P8" s="4"/>
      <c r="Q8" s="4"/>
      <c r="R8" s="4"/>
      <c r="S8" s="4"/>
      <c r="T8" s="4"/>
      <c r="U8" s="4"/>
      <c r="V8" s="4"/>
      <c r="W8" s="4"/>
      <c r="X8" s="4"/>
      <c r="Y8" s="4"/>
      <c r="Z8" s="4"/>
      <c r="AA8" s="4"/>
      <c r="AB8" s="4"/>
      <c r="AC8" s="4"/>
      <c r="AD8" s="4"/>
      <c r="AE8" s="4"/>
      <c r="AF8" s="4"/>
      <c r="AG8" s="4"/>
      <c r="AH8" s="4"/>
      <c r="AI8" s="4"/>
      <c r="AJ8" s="4"/>
      <c r="AK8" s="4"/>
      <c r="AL8" s="4"/>
      <c r="AM8" s="4"/>
      <c r="AN8" s="4"/>
      <c r="AO8" s="4"/>
      <c r="AP8" s="8"/>
      <c r="AQ8" s="8"/>
      <c r="AR8" s="4"/>
      <c r="AS8" s="4"/>
      <c r="AT8" s="4"/>
      <c r="AU8" s="8"/>
      <c r="AV8" s="8"/>
      <c r="AW8" s="4"/>
      <c r="AX8" s="2"/>
      <c r="AY8" s="2"/>
      <c r="AZ8" s="2"/>
      <c r="BA8" s="2"/>
      <c r="BB8" s="2"/>
      <c r="BC8" s="2"/>
      <c r="BD8" s="2"/>
      <c r="BE8" s="2"/>
      <c r="BF8" s="2"/>
      <c r="BG8" s="2"/>
      <c r="BH8" s="2"/>
      <c r="BI8" s="2"/>
      <c r="BJ8" s="2"/>
      <c r="BU8" s="1"/>
      <c r="BV8" s="1"/>
      <c r="BW8" s="1"/>
      <c r="BX8" s="1"/>
      <c r="BY8" s="1"/>
      <c r="DT8" s="1"/>
      <c r="DU8" s="1"/>
      <c r="DV8" s="1"/>
    </row>
    <row r="9" spans="1:126" x14ac:dyDescent="0.3">
      <c r="A9" s="34">
        <v>6</v>
      </c>
      <c r="B9" s="38"/>
      <c r="C9" s="2"/>
      <c r="D9" s="7"/>
      <c r="E9" s="4"/>
      <c r="F9" s="8"/>
      <c r="G9" s="4"/>
      <c r="H9" s="4"/>
      <c r="I9" s="4"/>
      <c r="J9" s="4"/>
      <c r="K9" s="4"/>
      <c r="L9" s="4"/>
      <c r="M9" s="4"/>
      <c r="N9" s="4"/>
      <c r="O9" s="8"/>
      <c r="P9" s="4"/>
      <c r="Q9" s="4"/>
      <c r="R9" s="4"/>
      <c r="S9" s="4"/>
      <c r="T9" s="4"/>
      <c r="U9" s="4"/>
      <c r="V9" s="4"/>
      <c r="W9" s="4"/>
      <c r="X9" s="4"/>
      <c r="Y9" s="4"/>
      <c r="Z9" s="4"/>
      <c r="AA9" s="4"/>
      <c r="AB9" s="4"/>
      <c r="AC9" s="4"/>
      <c r="AD9" s="4"/>
      <c r="AE9" s="4"/>
      <c r="AF9" s="4"/>
      <c r="AG9" s="4"/>
      <c r="AH9" s="4"/>
      <c r="AI9" s="4"/>
      <c r="AJ9" s="4"/>
      <c r="AK9" s="4"/>
      <c r="AL9" s="4"/>
      <c r="AM9" s="4"/>
      <c r="AN9" s="4"/>
      <c r="AO9" s="4"/>
      <c r="AP9" s="8"/>
      <c r="AQ9" s="8"/>
      <c r="AR9" s="4"/>
      <c r="AS9" s="4"/>
      <c r="AT9" s="4"/>
      <c r="AU9" s="8"/>
      <c r="AV9" s="8"/>
      <c r="AW9" s="4"/>
      <c r="AX9" s="2"/>
      <c r="AY9" s="2"/>
      <c r="AZ9" s="2"/>
      <c r="BA9" s="2"/>
      <c r="BB9" s="2"/>
      <c r="BC9" s="2"/>
      <c r="BD9" s="2"/>
      <c r="BE9" s="2"/>
      <c r="BF9" s="2"/>
      <c r="BG9" s="2"/>
      <c r="BH9" s="2"/>
      <c r="BI9" s="2"/>
      <c r="BJ9" s="2"/>
      <c r="BU9" s="1"/>
      <c r="BV9" s="1"/>
      <c r="BW9" s="1"/>
      <c r="BX9" s="1"/>
      <c r="BY9" s="1"/>
      <c r="DT9" s="1"/>
      <c r="DU9" s="1"/>
      <c r="DV9" s="1"/>
    </row>
    <row r="10" spans="1:126" x14ac:dyDescent="0.3">
      <c r="A10" s="34">
        <v>7</v>
      </c>
      <c r="B10" s="38"/>
      <c r="C10" s="2"/>
      <c r="D10" s="7"/>
      <c r="E10" s="4"/>
      <c r="F10" s="8"/>
      <c r="G10" s="4"/>
      <c r="H10" s="4"/>
      <c r="I10" s="4"/>
      <c r="J10" s="4"/>
      <c r="K10" s="4"/>
      <c r="L10" s="4"/>
      <c r="M10" s="4"/>
      <c r="N10" s="4"/>
      <c r="O10" s="8"/>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8"/>
      <c r="AQ10" s="8"/>
      <c r="AR10" s="4"/>
      <c r="AS10" s="4"/>
      <c r="AT10" s="4"/>
      <c r="AU10" s="8"/>
      <c r="AV10" s="8"/>
      <c r="AW10" s="4"/>
      <c r="AX10" s="2"/>
      <c r="AY10" s="2"/>
      <c r="AZ10" s="2"/>
      <c r="BA10" s="2"/>
      <c r="BB10" s="2"/>
      <c r="BC10" s="2"/>
      <c r="BD10" s="2"/>
      <c r="BE10" s="2"/>
      <c r="BF10" s="2"/>
      <c r="BG10" s="2"/>
      <c r="BH10" s="2"/>
      <c r="BI10" s="2"/>
      <c r="BJ10" s="2"/>
      <c r="BU10" s="1"/>
      <c r="BV10" s="1"/>
      <c r="BW10" s="1"/>
      <c r="BX10" s="1"/>
      <c r="BY10" s="1"/>
      <c r="DT10" s="1"/>
      <c r="DU10" s="1"/>
      <c r="DV10" s="1"/>
    </row>
    <row r="11" spans="1:126" x14ac:dyDescent="0.3">
      <c r="A11" s="34">
        <v>8</v>
      </c>
      <c r="B11" s="38"/>
      <c r="C11" s="2"/>
      <c r="D11" s="7"/>
      <c r="E11" s="4"/>
      <c r="F11" s="8"/>
      <c r="G11" s="4"/>
      <c r="H11" s="4"/>
      <c r="I11" s="4"/>
      <c r="J11" s="4"/>
      <c r="K11" s="4"/>
      <c r="L11" s="4"/>
      <c r="M11" s="4"/>
      <c r="N11" s="4"/>
      <c r="O11" s="8"/>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8"/>
      <c r="AQ11" s="8"/>
      <c r="AR11" s="4"/>
      <c r="AS11" s="4"/>
      <c r="AT11" s="4"/>
      <c r="AU11" s="8"/>
      <c r="AV11" s="8"/>
      <c r="AW11" s="4"/>
      <c r="AX11" s="2"/>
      <c r="AY11" s="2"/>
      <c r="AZ11" s="2"/>
      <c r="BA11" s="2"/>
      <c r="BB11" s="2"/>
      <c r="BC11" s="2"/>
      <c r="BD11" s="2"/>
      <c r="BE11" s="2"/>
      <c r="BF11" s="2"/>
      <c r="BG11" s="2"/>
      <c r="BH11" s="2"/>
      <c r="BI11" s="2"/>
      <c r="BJ11" s="2"/>
      <c r="BU11" s="1"/>
      <c r="BV11" s="1"/>
      <c r="BW11" s="1"/>
      <c r="BX11" s="1"/>
      <c r="BY11" s="1"/>
      <c r="DT11" s="1"/>
      <c r="DU11" s="1"/>
      <c r="DV11" s="1"/>
    </row>
    <row r="12" spans="1:126" x14ac:dyDescent="0.3">
      <c r="A12" s="34">
        <v>9</v>
      </c>
      <c r="B12" s="38"/>
      <c r="C12" s="2"/>
      <c r="D12" s="7"/>
      <c r="E12" s="4"/>
      <c r="F12" s="8"/>
      <c r="G12" s="4"/>
      <c r="H12" s="4"/>
      <c r="I12" s="4"/>
      <c r="J12" s="4"/>
      <c r="K12" s="4"/>
      <c r="L12" s="4"/>
      <c r="M12" s="4"/>
      <c r="N12" s="4"/>
      <c r="O12" s="8"/>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8"/>
      <c r="AQ12" s="8"/>
      <c r="AR12" s="4"/>
      <c r="AS12" s="4"/>
      <c r="AT12" s="4"/>
      <c r="AU12" s="8"/>
      <c r="AV12" s="8"/>
      <c r="AW12" s="4"/>
      <c r="AX12" s="2"/>
      <c r="AY12" s="2"/>
      <c r="AZ12" s="2"/>
      <c r="BA12" s="2"/>
      <c r="BB12" s="2"/>
      <c r="BC12" s="2"/>
      <c r="BD12" s="2"/>
      <c r="BE12" s="2"/>
      <c r="BF12" s="2"/>
      <c r="BG12" s="2"/>
      <c r="BH12" s="2"/>
      <c r="BI12" s="2"/>
      <c r="BJ12" s="2"/>
      <c r="BK12" s="37"/>
      <c r="BL12" s="37"/>
      <c r="BM12" s="37"/>
      <c r="BN12" s="37"/>
      <c r="BO12" s="37"/>
      <c r="BP12" s="37"/>
      <c r="BQ12" s="37"/>
      <c r="BR12" s="37"/>
      <c r="BS12" s="37"/>
      <c r="BT12" s="37"/>
      <c r="BU12" s="1"/>
      <c r="BV12" s="1"/>
      <c r="BW12" s="1"/>
      <c r="BX12" s="1"/>
      <c r="BY12" s="1"/>
      <c r="DT12" s="1"/>
      <c r="DU12" s="1"/>
      <c r="DV12" s="1"/>
    </row>
    <row r="13" spans="1:126" x14ac:dyDescent="0.3">
      <c r="A13" s="34">
        <v>10</v>
      </c>
      <c r="B13" s="38"/>
      <c r="C13" s="2"/>
      <c r="D13" s="7"/>
      <c r="E13" s="4"/>
      <c r="F13" s="8"/>
      <c r="G13" s="4"/>
      <c r="H13" s="4"/>
      <c r="I13" s="4"/>
      <c r="J13" s="4"/>
      <c r="K13" s="4"/>
      <c r="L13" s="4"/>
      <c r="M13" s="4"/>
      <c r="N13" s="4"/>
      <c r="O13" s="8"/>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8"/>
      <c r="AQ13" s="8"/>
      <c r="AR13" s="4"/>
      <c r="AS13" s="4"/>
      <c r="AT13" s="4"/>
      <c r="AU13" s="8"/>
      <c r="AV13" s="8"/>
      <c r="AW13" s="4"/>
      <c r="AX13" s="2"/>
      <c r="AY13" s="2"/>
      <c r="AZ13" s="2"/>
      <c r="BA13" s="2"/>
      <c r="BB13" s="2"/>
      <c r="BC13" s="2"/>
      <c r="BD13" s="2"/>
      <c r="BE13" s="2"/>
      <c r="BF13" s="2"/>
      <c r="BG13" s="2"/>
      <c r="BH13" s="2"/>
      <c r="BI13" s="2"/>
      <c r="BJ13" s="2"/>
      <c r="BK13" s="37"/>
      <c r="BL13" s="37"/>
      <c r="BM13" s="37"/>
      <c r="BN13" s="37"/>
      <c r="BO13" s="37"/>
      <c r="BP13" s="37"/>
      <c r="BQ13" s="37"/>
      <c r="BR13" s="37"/>
      <c r="BS13" s="37"/>
      <c r="BT13" s="37"/>
      <c r="BU13" s="1"/>
      <c r="BV13" s="1"/>
      <c r="BW13" s="1"/>
      <c r="BX13" s="1"/>
      <c r="BY13" s="1"/>
      <c r="DT13" s="1"/>
      <c r="DU13" s="1"/>
      <c r="DV13" s="1"/>
    </row>
    <row r="14" spans="1:126" x14ac:dyDescent="0.3">
      <c r="A14" s="34">
        <v>11</v>
      </c>
      <c r="B14" s="38"/>
      <c r="C14" s="2"/>
      <c r="D14" s="7"/>
      <c r="E14" s="4"/>
      <c r="F14" s="8"/>
      <c r="G14" s="4"/>
      <c r="H14" s="4"/>
      <c r="I14" s="4"/>
      <c r="J14" s="4"/>
      <c r="K14" s="4"/>
      <c r="L14" s="4"/>
      <c r="M14" s="4"/>
      <c r="N14" s="4"/>
      <c r="O14" s="8"/>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8"/>
      <c r="AQ14" s="8"/>
      <c r="AR14" s="4"/>
      <c r="AS14" s="4"/>
      <c r="AT14" s="4"/>
      <c r="AU14" s="8"/>
      <c r="AV14" s="8"/>
      <c r="AW14" s="4"/>
      <c r="AX14" s="2"/>
      <c r="AY14" s="2"/>
      <c r="AZ14" s="2"/>
      <c r="BA14" s="2"/>
      <c r="BB14" s="2"/>
      <c r="BC14" s="2"/>
      <c r="BD14" s="2"/>
      <c r="BE14" s="2"/>
      <c r="BF14" s="2"/>
      <c r="BG14" s="2"/>
      <c r="BH14" s="2"/>
      <c r="BI14" s="2"/>
      <c r="BJ14" s="2"/>
      <c r="BK14" s="37"/>
      <c r="BL14" s="37"/>
      <c r="BM14" s="37"/>
      <c r="BN14" s="37"/>
      <c r="BO14" s="37"/>
      <c r="BP14" s="37"/>
      <c r="BQ14" s="37"/>
      <c r="BR14" s="37"/>
      <c r="BS14" s="37"/>
      <c r="BT14" s="37"/>
      <c r="BU14" s="1"/>
      <c r="BV14" s="1"/>
      <c r="BW14" s="1"/>
      <c r="BX14" s="1"/>
      <c r="BY14" s="1"/>
      <c r="DT14" s="1"/>
      <c r="DU14" s="1"/>
      <c r="DV14" s="1"/>
    </row>
    <row r="15" spans="1:126" x14ac:dyDescent="0.3">
      <c r="A15" s="34">
        <v>12</v>
      </c>
      <c r="B15" s="38"/>
      <c r="C15" s="2"/>
      <c r="D15" s="7"/>
      <c r="E15" s="4"/>
      <c r="F15" s="8"/>
      <c r="G15" s="4"/>
      <c r="H15" s="4"/>
      <c r="I15" s="4"/>
      <c r="J15" s="4"/>
      <c r="K15" s="4"/>
      <c r="L15" s="4"/>
      <c r="M15" s="4"/>
      <c r="N15" s="4"/>
      <c r="O15" s="8"/>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8"/>
      <c r="AQ15" s="8"/>
      <c r="AR15" s="4"/>
      <c r="AS15" s="4"/>
      <c r="AT15" s="4"/>
      <c r="AU15" s="8"/>
      <c r="AV15" s="8"/>
      <c r="AW15" s="4"/>
      <c r="AX15" s="2"/>
      <c r="AY15" s="2"/>
      <c r="AZ15" s="2"/>
      <c r="BA15" s="2"/>
      <c r="BB15" s="2"/>
      <c r="BC15" s="2"/>
      <c r="BD15" s="2"/>
      <c r="BE15" s="2"/>
      <c r="BF15" s="2"/>
      <c r="BG15" s="2"/>
      <c r="BH15" s="2"/>
      <c r="BI15" s="2"/>
      <c r="BJ15" s="2"/>
      <c r="BK15" s="37"/>
      <c r="BL15" s="37"/>
      <c r="BM15" s="37"/>
      <c r="BN15" s="37"/>
      <c r="BO15" s="37"/>
      <c r="BP15" s="37"/>
      <c r="BQ15" s="37"/>
      <c r="BR15" s="37"/>
      <c r="BS15" s="37"/>
      <c r="BT15" s="37"/>
      <c r="BU15" s="1"/>
      <c r="BV15" s="1"/>
      <c r="BW15" s="1"/>
      <c r="BX15" s="1"/>
      <c r="BY15" s="1"/>
      <c r="DT15" s="1"/>
      <c r="DU15" s="1"/>
      <c r="DV15" s="1"/>
    </row>
    <row r="16" spans="1:126" x14ac:dyDescent="0.3">
      <c r="A16" s="34">
        <v>13</v>
      </c>
      <c r="B16" s="38"/>
      <c r="C16" s="2"/>
      <c r="D16" s="7"/>
      <c r="E16" s="4"/>
      <c r="F16" s="8"/>
      <c r="G16" s="4"/>
      <c r="H16" s="4"/>
      <c r="I16" s="4"/>
      <c r="J16" s="4"/>
      <c r="K16" s="4"/>
      <c r="L16" s="4"/>
      <c r="M16" s="4"/>
      <c r="N16" s="4"/>
      <c r="O16" s="8"/>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8"/>
      <c r="AQ16" s="8"/>
      <c r="AR16" s="4"/>
      <c r="AS16" s="4"/>
      <c r="AT16" s="4"/>
      <c r="AU16" s="8"/>
      <c r="AV16" s="8"/>
      <c r="AW16" s="4"/>
      <c r="AX16" s="2"/>
      <c r="AY16" s="2"/>
      <c r="AZ16" s="2"/>
      <c r="BA16" s="2"/>
      <c r="BB16" s="2"/>
      <c r="BC16" s="2"/>
      <c r="BD16" s="2"/>
      <c r="BE16" s="2"/>
      <c r="BF16" s="2"/>
      <c r="BG16" s="2"/>
      <c r="BH16" s="2"/>
      <c r="BI16" s="2"/>
      <c r="BJ16" s="2"/>
      <c r="BK16" s="37"/>
      <c r="BL16" s="37"/>
      <c r="BM16" s="37"/>
      <c r="BN16" s="37"/>
      <c r="BO16" s="37"/>
      <c r="BP16" s="37"/>
      <c r="BQ16" s="37"/>
      <c r="BR16" s="37"/>
      <c r="BS16" s="37"/>
      <c r="BT16" s="37"/>
      <c r="BU16" s="1"/>
      <c r="BV16" s="1"/>
      <c r="BW16" s="1"/>
      <c r="BX16" s="1"/>
      <c r="BY16" s="1"/>
      <c r="DT16" s="1"/>
      <c r="DU16" s="1"/>
      <c r="DV16" s="1"/>
    </row>
    <row r="17" spans="1:126" x14ac:dyDescent="0.3">
      <c r="A17" s="34">
        <v>14</v>
      </c>
      <c r="B17" s="38"/>
      <c r="C17" s="2"/>
      <c r="D17" s="7"/>
      <c r="E17" s="4"/>
      <c r="F17" s="8"/>
      <c r="G17" s="4"/>
      <c r="H17" s="4"/>
      <c r="I17" s="4"/>
      <c r="J17" s="4"/>
      <c r="K17" s="4"/>
      <c r="L17" s="4"/>
      <c r="M17" s="4"/>
      <c r="N17" s="4"/>
      <c r="O17" s="8"/>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8"/>
      <c r="AQ17" s="8"/>
      <c r="AR17" s="4"/>
      <c r="AS17" s="4"/>
      <c r="AT17" s="4"/>
      <c r="AU17" s="8"/>
      <c r="AV17" s="8"/>
      <c r="AW17" s="4"/>
      <c r="AX17" s="2"/>
      <c r="AY17" s="2"/>
      <c r="AZ17" s="2"/>
      <c r="BA17" s="2"/>
      <c r="BB17" s="2"/>
      <c r="BC17" s="2"/>
      <c r="BD17" s="2"/>
      <c r="BE17" s="2"/>
      <c r="BF17" s="2"/>
      <c r="BG17" s="2"/>
      <c r="BH17" s="2"/>
      <c r="BI17" s="2"/>
      <c r="BJ17" s="2"/>
      <c r="BK17" s="37"/>
      <c r="BL17" s="37"/>
      <c r="BM17" s="37"/>
      <c r="BN17" s="37"/>
      <c r="BO17" s="37"/>
      <c r="BP17" s="37"/>
      <c r="BQ17" s="37"/>
      <c r="BR17" s="37"/>
      <c r="BS17" s="37"/>
      <c r="BT17" s="37"/>
      <c r="BU17" s="1"/>
      <c r="BV17" s="1"/>
      <c r="BW17" s="1"/>
      <c r="BX17" s="1"/>
      <c r="BY17" s="1"/>
      <c r="DT17" s="1"/>
      <c r="DU17" s="1"/>
      <c r="DV17" s="1"/>
    </row>
    <row r="18" spans="1:126" x14ac:dyDescent="0.3">
      <c r="A18" s="34">
        <v>15</v>
      </c>
      <c r="B18" s="38"/>
      <c r="C18" s="2"/>
      <c r="D18" s="7"/>
      <c r="E18" s="4"/>
      <c r="F18" s="8"/>
      <c r="G18" s="4"/>
      <c r="H18" s="4"/>
      <c r="I18" s="4"/>
      <c r="J18" s="4"/>
      <c r="K18" s="4"/>
      <c r="L18" s="4"/>
      <c r="M18" s="4"/>
      <c r="N18" s="4"/>
      <c r="O18" s="8"/>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8"/>
      <c r="AQ18" s="8"/>
      <c r="AR18" s="4"/>
      <c r="AS18" s="4"/>
      <c r="AT18" s="4"/>
      <c r="AU18" s="8"/>
      <c r="AV18" s="8"/>
      <c r="AW18" s="4"/>
      <c r="AX18" s="2"/>
      <c r="AY18" s="2"/>
      <c r="AZ18" s="2"/>
      <c r="BA18" s="2"/>
      <c r="BB18" s="2"/>
      <c r="BC18" s="2"/>
      <c r="BD18" s="2"/>
      <c r="BE18" s="2"/>
      <c r="BF18" s="2"/>
      <c r="BG18" s="2"/>
      <c r="BH18" s="2"/>
      <c r="BI18" s="2"/>
      <c r="BJ18" s="2"/>
      <c r="BK18" s="37"/>
      <c r="BL18" s="37"/>
      <c r="BM18" s="37"/>
      <c r="BN18" s="37"/>
      <c r="BO18" s="37"/>
      <c r="BP18" s="37"/>
      <c r="BQ18" s="37"/>
      <c r="BR18" s="37"/>
      <c r="BS18" s="37"/>
      <c r="BT18" s="37"/>
      <c r="BU18" s="1"/>
      <c r="BV18" s="1"/>
      <c r="BW18" s="1"/>
      <c r="BX18" s="1"/>
      <c r="BY18" s="1"/>
      <c r="DT18" s="1"/>
      <c r="DU18" s="1"/>
      <c r="DV18" s="1"/>
    </row>
    <row r="19" spans="1:126" x14ac:dyDescent="0.3">
      <c r="A19" s="34">
        <v>16</v>
      </c>
      <c r="B19" s="38"/>
      <c r="C19" s="2"/>
      <c r="D19" s="7"/>
      <c r="E19" s="4"/>
      <c r="F19" s="8"/>
      <c r="G19" s="4"/>
      <c r="H19" s="4"/>
      <c r="I19" s="4"/>
      <c r="J19" s="4"/>
      <c r="K19" s="4"/>
      <c r="L19" s="4"/>
      <c r="M19" s="4"/>
      <c r="N19" s="4"/>
      <c r="O19" s="8"/>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8"/>
      <c r="AQ19" s="8"/>
      <c r="AR19" s="4"/>
      <c r="AS19" s="4"/>
      <c r="AT19" s="4"/>
      <c r="AU19" s="8"/>
      <c r="AV19" s="8"/>
      <c r="AW19" s="4"/>
      <c r="AX19" s="2"/>
      <c r="AY19" s="2"/>
      <c r="AZ19" s="2"/>
      <c r="BA19" s="2"/>
      <c r="BB19" s="2"/>
      <c r="BC19" s="2"/>
      <c r="BD19" s="2"/>
      <c r="BE19" s="2"/>
      <c r="BF19" s="2"/>
      <c r="BG19" s="2"/>
      <c r="BH19" s="2"/>
      <c r="BI19" s="2"/>
      <c r="BJ19" s="2"/>
      <c r="BK19" s="37"/>
      <c r="BL19" s="37"/>
      <c r="BM19" s="37"/>
      <c r="BN19" s="37"/>
      <c r="BO19" s="37"/>
      <c r="BP19" s="37"/>
      <c r="BQ19" s="37"/>
      <c r="BR19" s="37"/>
      <c r="BS19" s="37"/>
      <c r="BT19" s="37"/>
      <c r="BU19" s="1"/>
      <c r="BV19" s="1"/>
      <c r="BW19" s="1"/>
      <c r="BX19" s="1"/>
      <c r="BY19" s="1"/>
      <c r="DT19" s="1"/>
      <c r="DU19" s="1"/>
      <c r="DV19" s="1"/>
    </row>
    <row r="20" spans="1:126" x14ac:dyDescent="0.3">
      <c r="A20" s="34">
        <v>17</v>
      </c>
      <c r="B20" s="38"/>
      <c r="C20" s="2"/>
      <c r="D20" s="7"/>
      <c r="E20" s="4"/>
      <c r="F20" s="8"/>
      <c r="G20" s="4"/>
      <c r="H20" s="4"/>
      <c r="I20" s="4"/>
      <c r="J20" s="4"/>
      <c r="K20" s="4"/>
      <c r="L20" s="4"/>
      <c r="M20" s="4"/>
      <c r="N20" s="4"/>
      <c r="O20" s="8"/>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8"/>
      <c r="AQ20" s="8"/>
      <c r="AR20" s="4"/>
      <c r="AS20" s="4"/>
      <c r="AT20" s="4"/>
      <c r="AU20" s="8"/>
      <c r="AV20" s="8"/>
      <c r="AW20" s="4"/>
      <c r="AX20" s="2"/>
      <c r="AY20" s="2"/>
      <c r="AZ20" s="2"/>
      <c r="BA20" s="2"/>
      <c r="BB20" s="2"/>
      <c r="BC20" s="2"/>
      <c r="BD20" s="2"/>
      <c r="BE20" s="2"/>
      <c r="BF20" s="2"/>
      <c r="BG20" s="2"/>
      <c r="BH20" s="2"/>
      <c r="BI20" s="2"/>
      <c r="BJ20" s="2"/>
      <c r="BK20" s="37"/>
      <c r="BL20" s="37"/>
      <c r="BM20" s="37"/>
      <c r="BN20" s="37"/>
      <c r="BO20" s="37"/>
      <c r="BP20" s="37"/>
      <c r="BQ20" s="37"/>
      <c r="BR20" s="37"/>
      <c r="BS20" s="37"/>
      <c r="BT20" s="37"/>
      <c r="BU20" s="1"/>
      <c r="BV20" s="1"/>
      <c r="BW20" s="1"/>
      <c r="BX20" s="1"/>
      <c r="BY20" s="1"/>
      <c r="DT20" s="1"/>
      <c r="DU20" s="1"/>
      <c r="DV20" s="1"/>
    </row>
    <row r="21" spans="1:126" x14ac:dyDescent="0.3">
      <c r="A21" s="34">
        <v>18</v>
      </c>
      <c r="B21" s="38"/>
      <c r="C21" s="2"/>
      <c r="D21" s="7"/>
      <c r="E21" s="4"/>
      <c r="F21" s="8"/>
      <c r="G21" s="4"/>
      <c r="H21" s="4"/>
      <c r="I21" s="4"/>
      <c r="J21" s="4"/>
      <c r="K21" s="4"/>
      <c r="L21" s="4"/>
      <c r="M21" s="4"/>
      <c r="N21" s="4"/>
      <c r="O21" s="8"/>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8"/>
      <c r="AQ21" s="8"/>
      <c r="AR21" s="4"/>
      <c r="AS21" s="4"/>
      <c r="AT21" s="4"/>
      <c r="AU21" s="8"/>
      <c r="AV21" s="8"/>
      <c r="AW21" s="4"/>
      <c r="AX21" s="2"/>
      <c r="AY21" s="2"/>
      <c r="AZ21" s="2"/>
      <c r="BA21" s="2"/>
      <c r="BB21" s="2"/>
      <c r="BC21" s="2"/>
      <c r="BD21" s="2"/>
      <c r="BE21" s="2"/>
      <c r="BF21" s="2"/>
      <c r="BG21" s="2"/>
      <c r="BH21" s="2"/>
      <c r="BI21" s="2"/>
      <c r="BJ21" s="2"/>
      <c r="BK21" s="37"/>
      <c r="BL21" s="37"/>
      <c r="BM21" s="37"/>
      <c r="BN21" s="37"/>
      <c r="BO21" s="37"/>
      <c r="BP21" s="37"/>
      <c r="BQ21" s="37"/>
      <c r="BR21" s="37"/>
      <c r="BS21" s="37"/>
      <c r="BT21" s="37"/>
      <c r="BU21" s="1"/>
      <c r="BV21" s="1"/>
      <c r="BW21" s="1"/>
      <c r="BX21" s="1"/>
      <c r="BY21" s="1"/>
      <c r="DT21" s="1"/>
      <c r="DU21" s="1"/>
      <c r="DV21" s="1"/>
    </row>
    <row r="22" spans="1:126" x14ac:dyDescent="0.3">
      <c r="A22" s="34">
        <v>19</v>
      </c>
      <c r="B22" s="38"/>
      <c r="C22" s="2"/>
      <c r="D22" s="7"/>
      <c r="E22" s="4"/>
      <c r="F22" s="8"/>
      <c r="G22" s="4"/>
      <c r="H22" s="4"/>
      <c r="I22" s="4"/>
      <c r="J22" s="4"/>
      <c r="K22" s="4"/>
      <c r="L22" s="4"/>
      <c r="M22" s="4"/>
      <c r="N22" s="4"/>
      <c r="O22" s="8"/>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8"/>
      <c r="AQ22" s="8"/>
      <c r="AR22" s="4"/>
      <c r="AS22" s="4"/>
      <c r="AT22" s="4"/>
      <c r="AU22" s="8"/>
      <c r="AV22" s="8"/>
      <c r="AW22" s="4"/>
      <c r="AX22" s="2"/>
      <c r="AY22" s="2"/>
      <c r="AZ22" s="2"/>
      <c r="BA22" s="2"/>
      <c r="BB22" s="2"/>
      <c r="BC22" s="2"/>
      <c r="BD22" s="2"/>
      <c r="BE22" s="2"/>
      <c r="BF22" s="2"/>
      <c r="BG22" s="2"/>
      <c r="BH22" s="2"/>
      <c r="BI22" s="2"/>
      <c r="BJ22" s="2"/>
      <c r="BK22" s="37"/>
      <c r="BL22" s="37"/>
      <c r="BM22" s="37"/>
      <c r="BN22" s="37"/>
      <c r="BO22" s="37"/>
      <c r="BP22" s="37"/>
      <c r="BQ22" s="37"/>
      <c r="BR22" s="37"/>
      <c r="BS22" s="37"/>
      <c r="BT22" s="37"/>
      <c r="BU22" s="1"/>
      <c r="BV22" s="1"/>
      <c r="BW22" s="1"/>
      <c r="BX22" s="1"/>
      <c r="BY22" s="1"/>
      <c r="DT22" s="1"/>
      <c r="DU22" s="1"/>
      <c r="DV22" s="1"/>
    </row>
    <row r="23" spans="1:126" x14ac:dyDescent="0.3">
      <c r="A23" s="34">
        <v>20</v>
      </c>
      <c r="B23" s="38"/>
      <c r="C23" s="2"/>
      <c r="D23" s="7"/>
      <c r="E23" s="4"/>
      <c r="F23" s="8"/>
      <c r="G23" s="4"/>
      <c r="H23" s="4"/>
      <c r="I23" s="4"/>
      <c r="J23" s="4"/>
      <c r="K23" s="4"/>
      <c r="L23" s="4"/>
      <c r="M23" s="4"/>
      <c r="N23" s="4"/>
      <c r="O23" s="8"/>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8"/>
      <c r="AQ23" s="8"/>
      <c r="AR23" s="4"/>
      <c r="AS23" s="4"/>
      <c r="AT23" s="4"/>
      <c r="AU23" s="8"/>
      <c r="AV23" s="8"/>
      <c r="AW23" s="4"/>
      <c r="AX23" s="2"/>
      <c r="AY23" s="2"/>
      <c r="AZ23" s="2"/>
      <c r="BA23" s="2"/>
      <c r="BB23" s="2"/>
      <c r="BC23" s="2"/>
      <c r="BD23" s="2"/>
      <c r="BE23" s="2"/>
      <c r="BF23" s="2"/>
      <c r="BG23" s="2"/>
      <c r="BH23" s="2"/>
      <c r="BI23" s="2"/>
      <c r="BJ23" s="2"/>
      <c r="BK23" s="37"/>
      <c r="BL23" s="37"/>
      <c r="BM23" s="37"/>
      <c r="BN23" s="37"/>
      <c r="BO23" s="37"/>
      <c r="BP23" s="37"/>
      <c r="BQ23" s="37"/>
      <c r="BR23" s="37"/>
      <c r="BS23" s="37"/>
      <c r="BT23" s="37"/>
      <c r="BU23" s="1"/>
      <c r="BV23" s="1"/>
      <c r="BW23" s="1"/>
      <c r="BX23" s="1"/>
      <c r="BY23" s="1"/>
      <c r="DT23" s="1"/>
      <c r="DU23" s="1"/>
      <c r="DV23" s="1"/>
    </row>
    <row r="24" spans="1:126" x14ac:dyDescent="0.3">
      <c r="BE24" s="1"/>
      <c r="BF24" s="37"/>
      <c r="BG24" s="37"/>
      <c r="BH24" s="37"/>
      <c r="BI24" s="37"/>
      <c r="BJ24" s="37"/>
      <c r="BK24" s="37"/>
      <c r="BL24" s="37"/>
      <c r="BM24" s="37"/>
      <c r="BN24" s="37"/>
      <c r="BO24" s="37"/>
      <c r="BP24" s="37"/>
      <c r="BQ24" s="37"/>
      <c r="BR24" s="37"/>
      <c r="BS24" s="37"/>
      <c r="BT24" s="37"/>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row>
    <row r="25" spans="1:126" x14ac:dyDescent="0.3">
      <c r="BE25" s="1"/>
      <c r="BF25" s="37"/>
      <c r="BG25" s="37"/>
      <c r="BH25" s="37"/>
      <c r="BI25" s="37"/>
      <c r="BJ25" s="37"/>
      <c r="BK25" s="37"/>
      <c r="BL25" s="37"/>
      <c r="BM25" s="37"/>
      <c r="BN25" s="37"/>
      <c r="BO25" s="37"/>
      <c r="BP25" s="37"/>
      <c r="BQ25" s="37"/>
      <c r="BR25" s="37"/>
      <c r="BS25" s="37"/>
      <c r="BT25" s="37"/>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row>
    <row r="26" spans="1:126" x14ac:dyDescent="0.3">
      <c r="BE26" s="1"/>
      <c r="BF26" s="37"/>
      <c r="BG26" s="37"/>
      <c r="BH26" s="37"/>
      <c r="BI26" s="37"/>
      <c r="BJ26" s="37"/>
      <c r="BK26" s="37"/>
      <c r="BL26" s="37"/>
      <c r="BM26" s="37"/>
      <c r="BN26" s="37"/>
      <c r="BO26" s="37"/>
      <c r="BP26" s="37"/>
      <c r="BQ26" s="37"/>
      <c r="BR26" s="37"/>
      <c r="BS26" s="37"/>
      <c r="BT26" s="37"/>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row>
    <row r="27" spans="1:126" x14ac:dyDescent="0.3">
      <c r="BE27" s="1"/>
      <c r="BF27" s="37"/>
      <c r="BG27" s="37"/>
      <c r="BH27" s="37"/>
      <c r="BI27" s="37"/>
      <c r="BJ27" s="37"/>
      <c r="BK27" s="37"/>
      <c r="BL27" s="37"/>
      <c r="BM27" s="37"/>
      <c r="BN27" s="37"/>
      <c r="BO27" s="37"/>
      <c r="BP27" s="37"/>
      <c r="BQ27" s="37"/>
      <c r="BR27" s="37"/>
      <c r="BS27" s="37"/>
      <c r="BT27" s="37"/>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row>
    <row r="28" spans="1:126" x14ac:dyDescent="0.3">
      <c r="BE28" s="1"/>
      <c r="BF28" s="37"/>
      <c r="BG28" s="37"/>
      <c r="BH28" s="37"/>
      <c r="BI28" s="37"/>
      <c r="BJ28" s="37"/>
      <c r="BK28" s="37"/>
      <c r="BL28" s="37"/>
      <c r="BM28" s="37"/>
      <c r="BN28" s="37"/>
      <c r="BO28" s="37"/>
      <c r="BP28" s="37"/>
      <c r="BQ28" s="37"/>
      <c r="BR28" s="37"/>
      <c r="BS28" s="37"/>
      <c r="BT28" s="37"/>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row>
    <row r="29" spans="1:126" x14ac:dyDescent="0.3">
      <c r="BE29" s="1"/>
      <c r="BF29" s="37"/>
      <c r="BG29" s="37"/>
      <c r="BH29" s="37"/>
      <c r="BI29" s="37"/>
      <c r="BJ29" s="37"/>
      <c r="BK29" s="37"/>
      <c r="BL29" s="37"/>
      <c r="BM29" s="37"/>
      <c r="BN29" s="37"/>
      <c r="BO29" s="37"/>
      <c r="BP29" s="37"/>
      <c r="BQ29" s="37"/>
      <c r="BR29" s="37"/>
      <c r="BS29" s="37"/>
      <c r="BT29" s="37"/>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row>
    <row r="30" spans="1:126" x14ac:dyDescent="0.3">
      <c r="BE30" s="1"/>
      <c r="BF30" s="37"/>
      <c r="BG30" s="37"/>
      <c r="BH30" s="37"/>
      <c r="BI30" s="37"/>
      <c r="BJ30" s="37"/>
      <c r="BK30" s="37"/>
      <c r="BL30" s="37"/>
      <c r="BM30" s="37"/>
      <c r="BN30" s="37"/>
      <c r="BO30" s="37"/>
      <c r="BP30" s="37"/>
      <c r="BQ30" s="37"/>
      <c r="BR30" s="37"/>
      <c r="BS30" s="37"/>
      <c r="BT30" s="37"/>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row>
    <row r="31" spans="1:126" x14ac:dyDescent="0.3">
      <c r="BE31" s="1"/>
      <c r="BF31" s="37"/>
      <c r="BG31" s="37"/>
      <c r="BH31" s="37"/>
      <c r="BI31" s="37"/>
      <c r="BJ31" s="37"/>
      <c r="BK31" s="37"/>
      <c r="BL31" s="37"/>
      <c r="BM31" s="37"/>
      <c r="BN31" s="37"/>
      <c r="BO31" s="37"/>
      <c r="BP31" s="37"/>
      <c r="BQ31" s="37"/>
      <c r="BR31" s="37"/>
      <c r="BS31" s="37"/>
      <c r="BT31" s="37"/>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row>
    <row r="32" spans="1:126" x14ac:dyDescent="0.3">
      <c r="BE32" s="1"/>
      <c r="BF32" s="37"/>
      <c r="BG32" s="37"/>
      <c r="BH32" s="37"/>
      <c r="BI32" s="37"/>
      <c r="BJ32" s="37"/>
      <c r="BK32" s="37"/>
      <c r="BL32" s="37"/>
      <c r="BM32" s="37"/>
      <c r="BN32" s="37"/>
      <c r="BO32" s="37"/>
      <c r="BP32" s="37"/>
      <c r="BQ32" s="37"/>
      <c r="BR32" s="37"/>
      <c r="BS32" s="37"/>
      <c r="BT32" s="37"/>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row>
    <row r="33" spans="57:126" x14ac:dyDescent="0.3">
      <c r="BE33" s="1"/>
      <c r="BF33" s="37"/>
      <c r="BG33" s="37"/>
      <c r="BH33" s="37"/>
      <c r="BI33" s="37"/>
      <c r="BJ33" s="37"/>
      <c r="BK33" s="37"/>
      <c r="BL33" s="37"/>
      <c r="BM33" s="37"/>
      <c r="BN33" s="37"/>
      <c r="BO33" s="37"/>
      <c r="BP33" s="37"/>
      <c r="BQ33" s="37"/>
      <c r="BR33" s="37"/>
      <c r="BS33" s="37"/>
      <c r="BT33" s="37"/>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row>
    <row r="34" spans="57:126" x14ac:dyDescent="0.3">
      <c r="BE34" s="1"/>
      <c r="BF34" s="37"/>
      <c r="BG34" s="37"/>
      <c r="BH34" s="37"/>
      <c r="BI34" s="37"/>
      <c r="BJ34" s="37"/>
      <c r="BK34" s="37"/>
      <c r="BL34" s="37"/>
      <c r="BM34" s="37"/>
      <c r="BN34" s="37"/>
      <c r="BO34" s="37"/>
      <c r="BP34" s="37"/>
      <c r="BQ34" s="37"/>
      <c r="BR34" s="37"/>
      <c r="BS34" s="37"/>
      <c r="BT34" s="37"/>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row>
    <row r="35" spans="57:126" x14ac:dyDescent="0.3">
      <c r="BE35" s="1"/>
      <c r="BF35" s="37"/>
      <c r="BG35" s="37"/>
      <c r="BH35" s="37"/>
      <c r="BI35" s="37"/>
      <c r="BJ35" s="37"/>
      <c r="BK35" s="37"/>
      <c r="BL35" s="37"/>
      <c r="BM35" s="37"/>
      <c r="BN35" s="37"/>
      <c r="BO35" s="37"/>
      <c r="BP35" s="37"/>
      <c r="BQ35" s="37"/>
      <c r="BR35" s="37"/>
      <c r="BS35" s="37"/>
      <c r="BT35" s="37"/>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row>
    <row r="36" spans="57:126" x14ac:dyDescent="0.3">
      <c r="BE36" s="1"/>
      <c r="BF36" s="37"/>
      <c r="BG36" s="37"/>
      <c r="BH36" s="37"/>
      <c r="BI36" s="37"/>
      <c r="BJ36" s="37"/>
      <c r="BK36" s="37"/>
      <c r="BL36" s="37"/>
      <c r="BM36" s="37"/>
      <c r="BN36" s="37"/>
      <c r="BO36" s="37"/>
      <c r="BP36" s="37"/>
      <c r="BQ36" s="37"/>
      <c r="BR36" s="37"/>
      <c r="BS36" s="37"/>
      <c r="BT36" s="37"/>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row>
    <row r="37" spans="57:126" x14ac:dyDescent="0.3">
      <c r="BE37" s="1"/>
      <c r="BF37" s="37"/>
      <c r="BG37" s="37"/>
      <c r="BH37" s="37"/>
      <c r="BI37" s="37"/>
      <c r="BJ37" s="37"/>
      <c r="BK37" s="37"/>
      <c r="BL37" s="37"/>
      <c r="BM37" s="37"/>
      <c r="BN37" s="37"/>
      <c r="BO37" s="37"/>
      <c r="BP37" s="37"/>
      <c r="BQ37" s="37"/>
      <c r="BR37" s="37"/>
      <c r="BS37" s="37"/>
      <c r="BT37" s="37"/>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row>
    <row r="38" spans="57:126" x14ac:dyDescent="0.3">
      <c r="BE38" s="1"/>
      <c r="BF38" s="37"/>
      <c r="BG38" s="37"/>
      <c r="BH38" s="37"/>
      <c r="BI38" s="37"/>
      <c r="BJ38" s="37"/>
      <c r="BK38" s="37"/>
      <c r="BL38" s="37"/>
      <c r="BM38" s="37"/>
      <c r="BN38" s="37"/>
      <c r="BO38" s="37"/>
      <c r="BP38" s="37"/>
      <c r="BQ38" s="37"/>
      <c r="BR38" s="37"/>
      <c r="BS38" s="37"/>
      <c r="BT38" s="37"/>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row>
    <row r="39" spans="57:126" x14ac:dyDescent="0.3">
      <c r="BE39" s="1"/>
      <c r="BF39" s="37"/>
      <c r="BG39" s="37"/>
      <c r="BH39" s="37"/>
      <c r="BI39" s="37"/>
      <c r="BJ39" s="37"/>
      <c r="BK39" s="37"/>
      <c r="BL39" s="37"/>
      <c r="BM39" s="37"/>
      <c r="BN39" s="37"/>
      <c r="BO39" s="37"/>
      <c r="BP39" s="37"/>
      <c r="BQ39" s="37"/>
      <c r="BR39" s="37"/>
      <c r="BS39" s="37"/>
      <c r="BT39" s="37"/>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row>
    <row r="40" spans="57:126" x14ac:dyDescent="0.3">
      <c r="BE40" s="1"/>
      <c r="BF40" s="37"/>
      <c r="BG40" s="37"/>
      <c r="BH40" s="37"/>
      <c r="BI40" s="37"/>
      <c r="BJ40" s="37"/>
      <c r="BK40" s="37"/>
      <c r="BL40" s="37"/>
      <c r="BM40" s="37"/>
      <c r="BN40" s="37"/>
      <c r="BO40" s="37"/>
      <c r="BP40" s="37"/>
      <c r="BQ40" s="37"/>
      <c r="BR40" s="37"/>
      <c r="BS40" s="37"/>
      <c r="BT40" s="37"/>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row>
    <row r="41" spans="57:126" x14ac:dyDescent="0.3">
      <c r="BE41" s="1"/>
      <c r="BF41" s="37"/>
      <c r="BG41" s="37"/>
      <c r="BH41" s="37"/>
      <c r="BI41" s="37"/>
      <c r="BJ41" s="37"/>
      <c r="BK41" s="37"/>
      <c r="BL41" s="37"/>
      <c r="BM41" s="37"/>
      <c r="BN41" s="37"/>
      <c r="BO41" s="37"/>
      <c r="BP41" s="37"/>
      <c r="BQ41" s="37"/>
      <c r="BR41" s="37"/>
      <c r="BS41" s="37"/>
      <c r="BT41" s="37"/>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row>
    <row r="42" spans="57:126" x14ac:dyDescent="0.3">
      <c r="BE42" s="1"/>
      <c r="BF42" s="37"/>
      <c r="BG42" s="37"/>
      <c r="BH42" s="37"/>
      <c r="BI42" s="37"/>
      <c r="BJ42" s="37"/>
      <c r="BK42" s="37"/>
      <c r="BL42" s="37"/>
      <c r="BM42" s="37"/>
      <c r="BN42" s="37"/>
      <c r="BO42" s="37"/>
      <c r="BP42" s="37"/>
      <c r="BQ42" s="37"/>
      <c r="BR42" s="37"/>
      <c r="BS42" s="37"/>
      <c r="BT42" s="37"/>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row>
    <row r="43" spans="57:126" x14ac:dyDescent="0.3">
      <c r="BE43" s="1"/>
      <c r="BF43" s="37"/>
      <c r="BG43" s="37"/>
      <c r="BH43" s="37"/>
      <c r="BI43" s="37"/>
      <c r="BJ43" s="37"/>
      <c r="BK43" s="37"/>
      <c r="BL43" s="37"/>
      <c r="BM43" s="37"/>
      <c r="BN43" s="37"/>
      <c r="BO43" s="37"/>
      <c r="BP43" s="37"/>
      <c r="BQ43" s="37"/>
      <c r="BR43" s="37"/>
      <c r="BS43" s="37"/>
      <c r="BT43" s="37"/>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row>
    <row r="44" spans="57:126" x14ac:dyDescent="0.3">
      <c r="BE44" s="1"/>
      <c r="BF44" s="37"/>
      <c r="BG44" s="37"/>
      <c r="BH44" s="37"/>
      <c r="BI44" s="37"/>
      <c r="BJ44" s="37"/>
      <c r="BK44" s="37"/>
      <c r="BL44" s="37"/>
      <c r="BM44" s="37"/>
      <c r="BN44" s="37"/>
      <c r="BO44" s="37"/>
      <c r="BP44" s="37"/>
      <c r="BQ44" s="37"/>
      <c r="BR44" s="37"/>
      <c r="BS44" s="37"/>
      <c r="BT44" s="37"/>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row>
    <row r="45" spans="57:126" x14ac:dyDescent="0.3">
      <c r="BE45" s="1"/>
      <c r="BF45" s="37"/>
      <c r="BG45" s="37"/>
      <c r="BH45" s="37"/>
      <c r="BI45" s="37"/>
      <c r="BJ45" s="37"/>
      <c r="BK45" s="37"/>
      <c r="BL45" s="37"/>
      <c r="BM45" s="37"/>
      <c r="BN45" s="37"/>
      <c r="BO45" s="37"/>
      <c r="BP45" s="37"/>
      <c r="BQ45" s="37"/>
      <c r="BR45" s="37"/>
      <c r="BS45" s="37"/>
      <c r="BT45" s="37"/>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row>
    <row r="46" spans="57:126" x14ac:dyDescent="0.3">
      <c r="BE46" s="1"/>
      <c r="BF46" s="37"/>
      <c r="BG46" s="37"/>
      <c r="BH46" s="37"/>
      <c r="BI46" s="37"/>
      <c r="BJ46" s="37"/>
      <c r="BK46" s="37"/>
      <c r="BL46" s="37"/>
      <c r="BM46" s="37"/>
      <c r="BN46" s="37"/>
      <c r="BO46" s="37"/>
      <c r="BP46" s="37"/>
      <c r="BQ46" s="37"/>
      <c r="BR46" s="37"/>
      <c r="BS46" s="37"/>
      <c r="BT46" s="37"/>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row>
    <row r="47" spans="57:126" x14ac:dyDescent="0.3">
      <c r="BE47" s="1"/>
      <c r="BF47" s="37"/>
      <c r="BG47" s="37"/>
      <c r="BH47" s="37"/>
      <c r="BI47" s="37"/>
      <c r="BJ47" s="37"/>
      <c r="BK47" s="37"/>
      <c r="BL47" s="37"/>
      <c r="BM47" s="37"/>
      <c r="BN47" s="37"/>
      <c r="BO47" s="37"/>
      <c r="BP47" s="37"/>
      <c r="BQ47" s="37"/>
      <c r="BR47" s="37"/>
      <c r="BS47" s="37"/>
      <c r="BT47" s="37"/>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row>
    <row r="48" spans="57:126" x14ac:dyDescent="0.3">
      <c r="BE48" s="1"/>
      <c r="BF48" s="37"/>
      <c r="BG48" s="37"/>
      <c r="BH48" s="37"/>
      <c r="BI48" s="37"/>
      <c r="BJ48" s="37"/>
      <c r="BK48" s="37"/>
      <c r="BL48" s="37"/>
      <c r="BM48" s="37"/>
      <c r="BN48" s="37"/>
      <c r="BO48" s="37"/>
      <c r="BP48" s="37"/>
      <c r="BQ48" s="37"/>
      <c r="BR48" s="37"/>
      <c r="BS48" s="37"/>
      <c r="BT48" s="37"/>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row>
    <row r="49" spans="57:124" x14ac:dyDescent="0.3">
      <c r="BE49" s="1"/>
      <c r="BF49" s="37"/>
      <c r="BG49" s="37"/>
      <c r="BH49" s="37"/>
      <c r="BI49" s="37"/>
      <c r="BJ49" s="37"/>
      <c r="BK49" s="37"/>
      <c r="BL49" s="37"/>
      <c r="BM49" s="37"/>
      <c r="BN49" s="37"/>
      <c r="BO49" s="37"/>
      <c r="BP49" s="37"/>
      <c r="BQ49" s="37"/>
      <c r="BR49" s="37"/>
      <c r="BS49" s="37"/>
      <c r="BT49" s="37"/>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row>
    <row r="50" spans="57:124" x14ac:dyDescent="0.3">
      <c r="BE50" s="1"/>
      <c r="BF50" s="37"/>
      <c r="BG50" s="37"/>
      <c r="BH50" s="37"/>
      <c r="BI50" s="37"/>
      <c r="BJ50" s="37"/>
      <c r="BK50" s="37"/>
      <c r="BL50" s="37"/>
      <c r="BM50" s="37"/>
      <c r="BN50" s="37"/>
      <c r="BO50" s="37"/>
      <c r="BP50" s="37"/>
      <c r="BQ50" s="37"/>
      <c r="BR50" s="37"/>
      <c r="BS50" s="37"/>
      <c r="BT50" s="37"/>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row>
    <row r="51" spans="57:124" x14ac:dyDescent="0.3">
      <c r="BE51" s="1"/>
      <c r="BF51" s="37"/>
      <c r="BG51" s="37"/>
      <c r="BH51" s="37"/>
      <c r="BI51" s="37"/>
      <c r="BJ51" s="37"/>
      <c r="BK51" s="37"/>
      <c r="BL51" s="37"/>
      <c r="BM51" s="37"/>
      <c r="BN51" s="37"/>
      <c r="BO51" s="37"/>
      <c r="BP51" s="37"/>
      <c r="BQ51" s="37"/>
      <c r="BR51" s="37"/>
      <c r="BS51" s="37"/>
      <c r="BT51" s="37"/>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row>
    <row r="52" spans="57:124" x14ac:dyDescent="0.3">
      <c r="BE52" s="1"/>
      <c r="BF52" s="37"/>
      <c r="BG52" s="37"/>
      <c r="BH52" s="37"/>
      <c r="BI52" s="37"/>
      <c r="BJ52" s="37"/>
      <c r="BK52" s="37"/>
      <c r="BL52" s="37"/>
      <c r="BM52" s="37"/>
      <c r="BN52" s="37"/>
      <c r="BO52" s="37"/>
      <c r="BP52" s="37"/>
      <c r="BQ52" s="37"/>
      <c r="BR52" s="37"/>
      <c r="BS52" s="37"/>
      <c r="BT52" s="37"/>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row>
    <row r="53" spans="57:124" x14ac:dyDescent="0.3">
      <c r="BF53" s="37"/>
      <c r="BG53" s="37"/>
      <c r="BH53" s="37"/>
      <c r="BI53" s="37"/>
      <c r="BJ53" s="37"/>
      <c r="BK53" s="37"/>
      <c r="BL53" s="37"/>
      <c r="BM53" s="37"/>
      <c r="BN53" s="37"/>
      <c r="BO53" s="37"/>
      <c r="BP53" s="37"/>
      <c r="BQ53" s="37"/>
      <c r="BR53" s="37"/>
      <c r="BS53" s="37"/>
      <c r="BT53" s="37"/>
    </row>
    <row r="54" spans="57:124" x14ac:dyDescent="0.3">
      <c r="BF54" s="37"/>
      <c r="BG54" s="37"/>
      <c r="BH54" s="37"/>
      <c r="BI54" s="37"/>
      <c r="BJ54" s="37"/>
      <c r="BK54" s="37"/>
      <c r="BL54" s="37"/>
      <c r="BM54" s="37"/>
      <c r="BN54" s="37"/>
      <c r="BO54" s="37"/>
      <c r="BP54" s="37"/>
      <c r="BQ54" s="37"/>
      <c r="BR54" s="37"/>
      <c r="BS54" s="37"/>
      <c r="BT54" s="37"/>
    </row>
    <row r="55" spans="57:124" x14ac:dyDescent="0.3">
      <c r="BF55" s="37"/>
      <c r="BG55" s="37"/>
      <c r="BH55" s="37"/>
      <c r="BI55" s="37"/>
      <c r="BJ55" s="37"/>
      <c r="BK55" s="37"/>
      <c r="BL55" s="37"/>
      <c r="BM55" s="37"/>
      <c r="BN55" s="37"/>
      <c r="BO55" s="37"/>
      <c r="BP55" s="37"/>
      <c r="BQ55" s="37"/>
      <c r="BR55" s="37"/>
      <c r="BS55" s="37"/>
      <c r="BT55" s="37"/>
    </row>
    <row r="56" spans="57:124" x14ac:dyDescent="0.3">
      <c r="BF56" s="37"/>
      <c r="BG56" s="37"/>
      <c r="BH56" s="37"/>
      <c r="BI56" s="37"/>
      <c r="BJ56" s="37"/>
      <c r="BK56" s="37"/>
      <c r="BL56" s="37"/>
      <c r="BM56" s="37"/>
      <c r="BN56" s="37"/>
      <c r="BO56" s="37"/>
      <c r="BP56" s="37"/>
      <c r="BQ56" s="37"/>
      <c r="BR56" s="37"/>
      <c r="BS56" s="37"/>
      <c r="BT56" s="37"/>
    </row>
    <row r="57" spans="57:124" x14ac:dyDescent="0.3">
      <c r="BF57" s="37"/>
      <c r="BG57" s="37"/>
      <c r="BH57" s="37"/>
      <c r="BI57" s="37"/>
      <c r="BJ57" s="37"/>
      <c r="BK57" s="37"/>
      <c r="BL57" s="37"/>
      <c r="BM57" s="37"/>
      <c r="BN57" s="37"/>
      <c r="BO57" s="37"/>
      <c r="BP57" s="37"/>
      <c r="BQ57" s="37"/>
      <c r="BR57" s="37"/>
      <c r="BS57" s="37"/>
      <c r="BT57" s="37"/>
    </row>
    <row r="58" spans="57:124" x14ac:dyDescent="0.3">
      <c r="BF58" s="37"/>
      <c r="BG58" s="37"/>
      <c r="BH58" s="37"/>
      <c r="BI58" s="37"/>
      <c r="BJ58" s="37"/>
      <c r="BK58" s="37"/>
      <c r="BL58" s="37"/>
      <c r="BM58" s="37"/>
      <c r="BN58" s="37"/>
      <c r="BO58" s="37"/>
      <c r="BP58" s="37"/>
      <c r="BQ58" s="37"/>
      <c r="BR58" s="37"/>
      <c r="BS58" s="37"/>
      <c r="BT58" s="37"/>
    </row>
    <row r="59" spans="57:124" x14ac:dyDescent="0.3">
      <c r="BF59" s="37"/>
      <c r="BG59" s="37"/>
      <c r="BH59" s="37"/>
      <c r="BI59" s="37"/>
      <c r="BJ59" s="37"/>
      <c r="BK59" s="37"/>
      <c r="BL59" s="37"/>
      <c r="BM59" s="37"/>
      <c r="BN59" s="37"/>
      <c r="BO59" s="37"/>
      <c r="BP59" s="37"/>
      <c r="BQ59" s="37"/>
      <c r="BR59" s="37"/>
      <c r="BS59" s="37"/>
      <c r="BT59" s="37"/>
    </row>
    <row r="60" spans="57:124" x14ac:dyDescent="0.3">
      <c r="BF60" s="37"/>
      <c r="BG60" s="37"/>
      <c r="BH60" s="37"/>
      <c r="BI60" s="37"/>
      <c r="BJ60" s="37"/>
      <c r="BK60" s="37"/>
      <c r="BL60" s="37"/>
      <c r="BM60" s="37"/>
      <c r="BN60" s="37"/>
      <c r="BO60" s="37"/>
      <c r="BP60" s="37"/>
      <c r="BQ60" s="37"/>
      <c r="BR60" s="37"/>
      <c r="BS60" s="37"/>
      <c r="BT60" s="37"/>
    </row>
    <row r="61" spans="57:124" x14ac:dyDescent="0.3">
      <c r="BF61" s="37"/>
      <c r="BG61" s="37"/>
      <c r="BH61" s="37"/>
      <c r="BI61" s="37"/>
      <c r="BJ61" s="37"/>
      <c r="BK61" s="37"/>
      <c r="BL61" s="37"/>
      <c r="BM61" s="37"/>
      <c r="BN61" s="37"/>
      <c r="BO61" s="37"/>
      <c r="BP61" s="37"/>
      <c r="BQ61" s="37"/>
      <c r="BR61" s="37"/>
      <c r="BS61" s="37"/>
      <c r="BT61" s="37"/>
    </row>
    <row r="62" spans="57:124" x14ac:dyDescent="0.3">
      <c r="BF62" s="37"/>
      <c r="BG62" s="37"/>
      <c r="BH62" s="37"/>
      <c r="BI62" s="37"/>
      <c r="BJ62" s="37"/>
      <c r="BK62" s="37"/>
      <c r="BL62" s="37"/>
      <c r="BM62" s="37"/>
      <c r="BN62" s="37"/>
      <c r="BO62" s="37"/>
      <c r="BP62" s="37"/>
      <c r="BQ62" s="37"/>
      <c r="BR62" s="37"/>
      <c r="BS62" s="37"/>
      <c r="BT62" s="37"/>
    </row>
    <row r="63" spans="57:124" x14ac:dyDescent="0.3">
      <c r="BF63" s="37"/>
      <c r="BG63" s="37"/>
      <c r="BH63" s="37"/>
      <c r="BI63" s="37"/>
      <c r="BJ63" s="37"/>
      <c r="BK63" s="37"/>
      <c r="BL63" s="37"/>
      <c r="BM63" s="37"/>
      <c r="BN63" s="37"/>
      <c r="BO63" s="37"/>
      <c r="BP63" s="37"/>
      <c r="BQ63" s="37"/>
      <c r="BR63" s="37"/>
      <c r="BS63" s="37"/>
      <c r="BT63" s="37"/>
    </row>
    <row r="64" spans="57:124" x14ac:dyDescent="0.3">
      <c r="BF64" s="37"/>
      <c r="BG64" s="37"/>
      <c r="BH64" s="37"/>
      <c r="BI64" s="37"/>
      <c r="BJ64" s="37"/>
      <c r="BK64" s="37"/>
      <c r="BL64" s="37"/>
      <c r="BM64" s="37"/>
      <c r="BN64" s="37"/>
      <c r="BO64" s="37"/>
      <c r="BP64" s="37"/>
      <c r="BQ64" s="37"/>
      <c r="BR64" s="37"/>
      <c r="BS64" s="37"/>
      <c r="BT64" s="37"/>
    </row>
    <row r="65" spans="58:72" x14ac:dyDescent="0.3">
      <c r="BF65" s="37"/>
      <c r="BG65" s="37"/>
      <c r="BH65" s="37"/>
      <c r="BI65" s="37"/>
      <c r="BJ65" s="37"/>
      <c r="BK65" s="37"/>
      <c r="BL65" s="37"/>
      <c r="BM65" s="37"/>
      <c r="BN65" s="37"/>
      <c r="BO65" s="37"/>
      <c r="BP65" s="37"/>
      <c r="BQ65" s="37"/>
      <c r="BR65" s="37"/>
      <c r="BS65" s="37"/>
      <c r="BT65" s="37"/>
    </row>
    <row r="66" spans="58:72" x14ac:dyDescent="0.3">
      <c r="BF66" s="37"/>
      <c r="BG66" s="37"/>
      <c r="BH66" s="37"/>
      <c r="BI66" s="37"/>
      <c r="BJ66" s="37"/>
      <c r="BK66" s="37"/>
      <c r="BL66" s="37"/>
      <c r="BM66" s="37"/>
      <c r="BN66" s="37"/>
      <c r="BO66" s="37"/>
      <c r="BP66" s="37"/>
      <c r="BQ66" s="37"/>
      <c r="BR66" s="37"/>
      <c r="BS66" s="37"/>
      <c r="BT66" s="37"/>
    </row>
    <row r="67" spans="58:72" x14ac:dyDescent="0.3">
      <c r="BF67" s="37"/>
      <c r="BG67" s="37"/>
      <c r="BH67" s="37"/>
      <c r="BI67" s="37"/>
      <c r="BJ67" s="37"/>
      <c r="BK67" s="37"/>
      <c r="BL67" s="37"/>
      <c r="BM67" s="37"/>
      <c r="BN67" s="37"/>
      <c r="BO67" s="37"/>
      <c r="BP67" s="37"/>
      <c r="BQ67" s="37"/>
      <c r="BR67" s="37"/>
      <c r="BS67" s="37"/>
      <c r="BT67" s="37"/>
    </row>
    <row r="68" spans="58:72" x14ac:dyDescent="0.3">
      <c r="BF68" s="37"/>
      <c r="BG68" s="37"/>
      <c r="BH68" s="37"/>
      <c r="BI68" s="37"/>
      <c r="BJ68" s="37"/>
      <c r="BK68" s="37"/>
      <c r="BL68" s="37"/>
      <c r="BM68" s="37"/>
      <c r="BN68" s="37"/>
      <c r="BO68" s="37"/>
      <c r="BP68" s="37"/>
      <c r="BQ68" s="37"/>
      <c r="BR68" s="37"/>
      <c r="BS68" s="37"/>
      <c r="BT68" s="37"/>
    </row>
    <row r="69" spans="58:72" x14ac:dyDescent="0.3">
      <c r="BF69" s="37"/>
      <c r="BG69" s="37"/>
      <c r="BH69" s="37"/>
      <c r="BI69" s="37"/>
      <c r="BJ69" s="37"/>
      <c r="BK69" s="37"/>
      <c r="BL69" s="37"/>
      <c r="BM69" s="37"/>
      <c r="BN69" s="37"/>
      <c r="BO69" s="37"/>
      <c r="BP69" s="37"/>
      <c r="BQ69" s="37"/>
      <c r="BR69" s="37"/>
      <c r="BS69" s="37"/>
      <c r="BT69" s="37"/>
    </row>
    <row r="70" spans="58:72" x14ac:dyDescent="0.3">
      <c r="BF70" s="37"/>
      <c r="BG70" s="37"/>
      <c r="BH70" s="37"/>
      <c r="BI70" s="37"/>
      <c r="BJ70" s="37"/>
      <c r="BK70" s="37"/>
      <c r="BL70" s="37"/>
      <c r="BM70" s="37"/>
      <c r="BN70" s="37"/>
      <c r="BO70" s="37"/>
      <c r="BP70" s="37"/>
      <c r="BQ70" s="37"/>
      <c r="BR70" s="37"/>
      <c r="BS70" s="37"/>
      <c r="BT70" s="37"/>
    </row>
    <row r="71" spans="58:72" x14ac:dyDescent="0.3">
      <c r="BF71" s="37"/>
      <c r="BG71" s="37"/>
      <c r="BH71" s="37"/>
      <c r="BI71" s="37"/>
      <c r="BJ71" s="37"/>
      <c r="BK71" s="37"/>
      <c r="BL71" s="37"/>
      <c r="BM71" s="37"/>
      <c r="BN71" s="37"/>
      <c r="BO71" s="37"/>
      <c r="BP71" s="37"/>
      <c r="BQ71" s="37"/>
      <c r="BR71" s="37"/>
      <c r="BS71" s="37"/>
      <c r="BT71" s="37"/>
    </row>
    <row r="72" spans="58:72" x14ac:dyDescent="0.3">
      <c r="BF72" s="37"/>
      <c r="BG72" s="37"/>
      <c r="BH72" s="37"/>
      <c r="BI72" s="37"/>
      <c r="BJ72" s="37"/>
      <c r="BK72" s="37"/>
      <c r="BL72" s="37"/>
      <c r="BM72" s="37"/>
      <c r="BN72" s="37"/>
      <c r="BO72" s="37"/>
      <c r="BP72" s="37"/>
      <c r="BQ72" s="37"/>
      <c r="BR72" s="37"/>
      <c r="BS72" s="37"/>
      <c r="BT72" s="37"/>
    </row>
    <row r="73" spans="58:72" x14ac:dyDescent="0.3">
      <c r="BF73" s="37"/>
      <c r="BG73" s="37"/>
      <c r="BH73" s="37"/>
      <c r="BI73" s="37"/>
      <c r="BJ73" s="37"/>
      <c r="BK73" s="37"/>
      <c r="BL73" s="37"/>
      <c r="BM73" s="37"/>
      <c r="BN73" s="37"/>
      <c r="BO73" s="37"/>
      <c r="BP73" s="37"/>
      <c r="BQ73" s="37"/>
      <c r="BR73" s="37"/>
      <c r="BS73" s="37"/>
      <c r="BT73" s="37"/>
    </row>
    <row r="74" spans="58:72" x14ac:dyDescent="0.3">
      <c r="BF74" s="37"/>
      <c r="BG74" s="37"/>
      <c r="BH74" s="37"/>
      <c r="BI74" s="37"/>
      <c r="BJ74" s="37"/>
      <c r="BK74" s="37"/>
      <c r="BL74" s="37"/>
      <c r="BM74" s="37"/>
      <c r="BN74" s="37"/>
      <c r="BO74" s="37"/>
      <c r="BP74" s="37"/>
      <c r="BQ74" s="37"/>
      <c r="BR74" s="37"/>
      <c r="BS74" s="37"/>
      <c r="BT74" s="37"/>
    </row>
    <row r="75" spans="58:72" x14ac:dyDescent="0.3">
      <c r="BF75" s="37"/>
      <c r="BG75" s="37"/>
      <c r="BH75" s="37"/>
      <c r="BI75" s="37"/>
      <c r="BJ75" s="37"/>
      <c r="BK75" s="37"/>
      <c r="BL75" s="37"/>
      <c r="BM75" s="37"/>
      <c r="BN75" s="37"/>
      <c r="BO75" s="37"/>
      <c r="BP75" s="37"/>
      <c r="BQ75" s="37"/>
      <c r="BR75" s="37"/>
      <c r="BS75" s="37"/>
      <c r="BT75" s="37"/>
    </row>
    <row r="76" spans="58:72" x14ac:dyDescent="0.3">
      <c r="BF76" s="37"/>
      <c r="BG76" s="37"/>
      <c r="BH76" s="37"/>
      <c r="BI76" s="37"/>
      <c r="BJ76" s="37"/>
      <c r="BK76" s="37"/>
      <c r="BL76" s="37"/>
      <c r="BM76" s="37"/>
      <c r="BN76" s="37"/>
      <c r="BO76" s="37"/>
      <c r="BP76" s="37"/>
      <c r="BQ76" s="37"/>
      <c r="BR76" s="37"/>
      <c r="BS76" s="37"/>
      <c r="BT76" s="37"/>
    </row>
    <row r="77" spans="58:72" x14ac:dyDescent="0.3">
      <c r="BF77" s="37"/>
      <c r="BG77" s="37"/>
      <c r="BH77" s="37"/>
      <c r="BI77" s="37"/>
      <c r="BJ77" s="37"/>
      <c r="BK77" s="37"/>
      <c r="BL77" s="37"/>
      <c r="BM77" s="37"/>
      <c r="BN77" s="37"/>
      <c r="BO77" s="37"/>
      <c r="BP77" s="37"/>
      <c r="BQ77" s="37"/>
      <c r="BR77" s="37"/>
      <c r="BS77" s="37"/>
      <c r="BT77" s="37"/>
    </row>
    <row r="78" spans="58:72" x14ac:dyDescent="0.3">
      <c r="BF78" s="37"/>
      <c r="BG78" s="37"/>
      <c r="BH78" s="37"/>
      <c r="BI78" s="37"/>
      <c r="BJ78" s="37"/>
      <c r="BK78" s="37"/>
      <c r="BL78" s="37"/>
      <c r="BM78" s="37"/>
      <c r="BN78" s="37"/>
      <c r="BO78" s="37"/>
      <c r="BP78" s="37"/>
      <c r="BQ78" s="37"/>
      <c r="BR78" s="37"/>
      <c r="BS78" s="37"/>
      <c r="BT78" s="37"/>
    </row>
    <row r="79" spans="58:72" x14ac:dyDescent="0.3">
      <c r="BF79" s="37"/>
      <c r="BG79" s="37"/>
      <c r="BH79" s="37"/>
      <c r="BI79" s="37"/>
      <c r="BJ79" s="37"/>
      <c r="BK79" s="37"/>
      <c r="BL79" s="37"/>
      <c r="BM79" s="37"/>
      <c r="BN79" s="37"/>
      <c r="BO79" s="37"/>
      <c r="BP79" s="37"/>
      <c r="BQ79" s="37"/>
      <c r="BR79" s="37"/>
      <c r="BS79" s="37"/>
      <c r="BT79" s="37"/>
    </row>
    <row r="80" spans="58:72" x14ac:dyDescent="0.3">
      <c r="BF80" s="37"/>
      <c r="BG80" s="37"/>
      <c r="BH80" s="37"/>
      <c r="BI80" s="37"/>
      <c r="BJ80" s="37"/>
      <c r="BK80" s="37"/>
      <c r="BL80" s="37"/>
      <c r="BM80" s="37"/>
      <c r="BN80" s="37"/>
      <c r="BO80" s="37"/>
      <c r="BP80" s="37"/>
      <c r="BQ80" s="37"/>
      <c r="BR80" s="37"/>
      <c r="BS80" s="37"/>
      <c r="BT80" s="37"/>
    </row>
    <row r="81" spans="58:72" x14ac:dyDescent="0.3">
      <c r="BF81" s="37"/>
      <c r="BG81" s="37"/>
      <c r="BH81" s="37"/>
      <c r="BI81" s="37"/>
      <c r="BJ81" s="37"/>
      <c r="BK81" s="37"/>
      <c r="BL81" s="37"/>
      <c r="BM81" s="37"/>
      <c r="BN81" s="37"/>
      <c r="BO81" s="37"/>
      <c r="BP81" s="37"/>
      <c r="BQ81" s="37"/>
      <c r="BR81" s="37"/>
      <c r="BS81" s="37"/>
      <c r="BT81" s="37"/>
    </row>
    <row r="82" spans="58:72" x14ac:dyDescent="0.3">
      <c r="BF82" s="37"/>
      <c r="BG82" s="37"/>
      <c r="BH82" s="37"/>
      <c r="BI82" s="37"/>
      <c r="BJ82" s="37"/>
      <c r="BK82" s="37"/>
      <c r="BL82" s="37"/>
      <c r="BM82" s="37"/>
      <c r="BN82" s="37"/>
      <c r="BO82" s="37"/>
      <c r="BP82" s="37"/>
      <c r="BQ82" s="37"/>
      <c r="BR82" s="37"/>
      <c r="BS82" s="37"/>
      <c r="BT82" s="37"/>
    </row>
    <row r="83" spans="58:72" x14ac:dyDescent="0.3">
      <c r="BF83" s="37"/>
      <c r="BG83" s="37"/>
      <c r="BH83" s="37"/>
      <c r="BI83" s="37"/>
      <c r="BJ83" s="37"/>
      <c r="BK83" s="37"/>
      <c r="BL83" s="37"/>
      <c r="BM83" s="37"/>
      <c r="BN83" s="37"/>
      <c r="BO83" s="37"/>
      <c r="BP83" s="37"/>
      <c r="BQ83" s="37"/>
      <c r="BR83" s="37"/>
      <c r="BS83" s="37"/>
      <c r="BT83" s="37"/>
    </row>
    <row r="84" spans="58:72" x14ac:dyDescent="0.3">
      <c r="BF84" s="37"/>
      <c r="BG84" s="37"/>
      <c r="BH84" s="37"/>
      <c r="BI84" s="37"/>
      <c r="BJ84" s="37"/>
      <c r="BK84" s="37"/>
      <c r="BL84" s="37"/>
      <c r="BM84" s="37"/>
      <c r="BN84" s="37"/>
      <c r="BO84" s="37"/>
      <c r="BP84" s="37"/>
      <c r="BQ84" s="37"/>
      <c r="BR84" s="37"/>
      <c r="BS84" s="37"/>
      <c r="BT84" s="37"/>
    </row>
    <row r="85" spans="58:72" x14ac:dyDescent="0.3">
      <c r="BF85" s="37"/>
      <c r="BG85" s="37"/>
      <c r="BH85" s="37"/>
      <c r="BI85" s="37"/>
      <c r="BJ85" s="37"/>
      <c r="BK85" s="37"/>
      <c r="BL85" s="37"/>
      <c r="BM85" s="37"/>
      <c r="BN85" s="37"/>
      <c r="BO85" s="37"/>
      <c r="BP85" s="37"/>
      <c r="BQ85" s="37"/>
      <c r="BR85" s="37"/>
      <c r="BS85" s="37"/>
      <c r="BT85" s="37"/>
    </row>
    <row r="86" spans="58:72" x14ac:dyDescent="0.3">
      <c r="BF86" s="37"/>
      <c r="BG86" s="37"/>
      <c r="BH86" s="37"/>
      <c r="BI86" s="37"/>
      <c r="BJ86" s="37"/>
      <c r="BK86" s="37"/>
      <c r="BL86" s="37"/>
      <c r="BM86" s="37"/>
      <c r="BN86" s="37"/>
      <c r="BO86" s="37"/>
      <c r="BP86" s="37"/>
      <c r="BQ86" s="37"/>
      <c r="BR86" s="37"/>
      <c r="BS86" s="37"/>
      <c r="BT86" s="37"/>
    </row>
    <row r="87" spans="58:72" x14ac:dyDescent="0.3">
      <c r="BF87" s="37"/>
      <c r="BG87" s="37"/>
      <c r="BH87" s="37"/>
      <c r="BI87" s="37"/>
      <c r="BJ87" s="37"/>
      <c r="BK87" s="37"/>
      <c r="BL87" s="37"/>
      <c r="BM87" s="37"/>
      <c r="BN87" s="37"/>
      <c r="BO87" s="37"/>
      <c r="BP87" s="37"/>
      <c r="BQ87" s="37"/>
      <c r="BR87" s="37"/>
      <c r="BS87" s="37"/>
      <c r="BT87" s="37"/>
    </row>
    <row r="88" spans="58:72" x14ac:dyDescent="0.3">
      <c r="BF88" s="37"/>
      <c r="BG88" s="37"/>
      <c r="BH88" s="37"/>
      <c r="BI88" s="37"/>
      <c r="BJ88" s="37"/>
      <c r="BK88" s="37"/>
      <c r="BL88" s="37"/>
      <c r="BM88" s="37"/>
      <c r="BN88" s="37"/>
      <c r="BO88" s="37"/>
      <c r="BP88" s="37"/>
      <c r="BQ88" s="37"/>
      <c r="BR88" s="37"/>
      <c r="BS88" s="37"/>
      <c r="BT88" s="37"/>
    </row>
    <row r="89" spans="58:72" x14ac:dyDescent="0.3">
      <c r="BF89" s="37"/>
      <c r="BG89" s="37"/>
      <c r="BH89" s="37"/>
      <c r="BI89" s="37"/>
      <c r="BJ89" s="37"/>
      <c r="BK89" s="37"/>
      <c r="BL89" s="37"/>
      <c r="BM89" s="37"/>
      <c r="BN89" s="37"/>
      <c r="BO89" s="37"/>
      <c r="BP89" s="37"/>
      <c r="BQ89" s="37"/>
      <c r="BR89" s="37"/>
      <c r="BS89" s="37"/>
      <c r="BT89" s="37"/>
    </row>
    <row r="90" spans="58:72" x14ac:dyDescent="0.3">
      <c r="BF90" s="37"/>
      <c r="BG90" s="37"/>
      <c r="BH90" s="37"/>
      <c r="BI90" s="37"/>
      <c r="BJ90" s="37"/>
      <c r="BK90" s="37"/>
      <c r="BL90" s="37"/>
      <c r="BM90" s="37"/>
      <c r="BN90" s="37"/>
      <c r="BO90" s="37"/>
      <c r="BP90" s="37"/>
      <c r="BQ90" s="37"/>
      <c r="BR90" s="37"/>
      <c r="BS90" s="37"/>
      <c r="BT90" s="37"/>
    </row>
    <row r="91" spans="58:72" x14ac:dyDescent="0.3">
      <c r="BF91" s="37"/>
      <c r="BG91" s="37"/>
      <c r="BH91" s="37"/>
      <c r="BI91" s="37"/>
      <c r="BJ91" s="37"/>
      <c r="BK91" s="37"/>
      <c r="BL91" s="37"/>
      <c r="BM91" s="37"/>
      <c r="BN91" s="37"/>
      <c r="BO91" s="37"/>
      <c r="BP91" s="37"/>
      <c r="BQ91" s="37"/>
      <c r="BR91" s="37"/>
      <c r="BS91" s="37"/>
      <c r="BT91" s="37"/>
    </row>
    <row r="92" spans="58:72" x14ac:dyDescent="0.3">
      <c r="BF92" s="37"/>
      <c r="BG92" s="37"/>
      <c r="BH92" s="37"/>
      <c r="BI92" s="37"/>
      <c r="BJ92" s="37"/>
      <c r="BK92" s="37"/>
      <c r="BL92" s="37"/>
      <c r="BM92" s="37"/>
      <c r="BN92" s="37"/>
      <c r="BO92" s="37"/>
      <c r="BP92" s="37"/>
      <c r="BQ92" s="37"/>
      <c r="BR92" s="37"/>
      <c r="BS92" s="37"/>
      <c r="BT92" s="37"/>
    </row>
    <row r="93" spans="58:72" x14ac:dyDescent="0.3">
      <c r="BF93" s="37"/>
      <c r="BG93" s="37"/>
      <c r="BH93" s="37"/>
      <c r="BI93" s="37"/>
      <c r="BJ93" s="37"/>
      <c r="BK93" s="37"/>
      <c r="BL93" s="37"/>
      <c r="BM93" s="37"/>
      <c r="BN93" s="37"/>
      <c r="BO93" s="37"/>
      <c r="BP93" s="37"/>
      <c r="BQ93" s="37"/>
      <c r="BR93" s="37"/>
      <c r="BS93" s="37"/>
      <c r="BT93" s="37"/>
    </row>
    <row r="94" spans="58:72" x14ac:dyDescent="0.3">
      <c r="BF94" s="37"/>
      <c r="BG94" s="37"/>
      <c r="BH94" s="37"/>
      <c r="BI94" s="37"/>
      <c r="BJ94" s="37"/>
      <c r="BK94" s="37"/>
      <c r="BL94" s="37"/>
      <c r="BM94" s="37"/>
      <c r="BN94" s="37"/>
      <c r="BO94" s="37"/>
      <c r="BP94" s="37"/>
      <c r="BQ94" s="37"/>
      <c r="BR94" s="37"/>
      <c r="BS94" s="37"/>
      <c r="BT94" s="37"/>
    </row>
    <row r="95" spans="58:72" x14ac:dyDescent="0.3">
      <c r="BF95" s="37"/>
      <c r="BG95" s="37"/>
      <c r="BH95" s="37"/>
      <c r="BI95" s="37"/>
      <c r="BJ95" s="37"/>
      <c r="BK95" s="37"/>
      <c r="BL95" s="37"/>
      <c r="BM95" s="37"/>
      <c r="BN95" s="37"/>
      <c r="BO95" s="37"/>
      <c r="BP95" s="37"/>
      <c r="BQ95" s="37"/>
      <c r="BR95" s="37"/>
      <c r="BS95" s="37"/>
      <c r="BT95" s="37"/>
    </row>
    <row r="96" spans="58:72" x14ac:dyDescent="0.3">
      <c r="BF96" s="37"/>
      <c r="BG96" s="37"/>
      <c r="BH96" s="37"/>
      <c r="BI96" s="37"/>
      <c r="BJ96" s="37"/>
      <c r="BK96" s="37"/>
      <c r="BL96" s="37"/>
      <c r="BM96" s="37"/>
      <c r="BN96" s="37"/>
      <c r="BO96" s="37"/>
      <c r="BP96" s="37"/>
      <c r="BQ96" s="37"/>
      <c r="BR96" s="37"/>
      <c r="BS96" s="37"/>
      <c r="BT96" s="37"/>
    </row>
    <row r="97" spans="58:72" x14ac:dyDescent="0.3">
      <c r="BF97" s="37"/>
      <c r="BG97" s="37"/>
      <c r="BH97" s="37"/>
      <c r="BI97" s="37"/>
      <c r="BJ97" s="37"/>
      <c r="BK97" s="37"/>
      <c r="BL97" s="37"/>
      <c r="BM97" s="37"/>
      <c r="BN97" s="37"/>
      <c r="BO97" s="37"/>
      <c r="BP97" s="37"/>
      <c r="BQ97" s="37"/>
      <c r="BR97" s="37"/>
      <c r="BS97" s="37"/>
      <c r="BT97" s="37"/>
    </row>
    <row r="98" spans="58:72" x14ac:dyDescent="0.3">
      <c r="BF98" s="37"/>
      <c r="BG98" s="37"/>
      <c r="BH98" s="37"/>
      <c r="BI98" s="37"/>
      <c r="BJ98" s="37"/>
      <c r="BK98" s="37"/>
      <c r="BL98" s="37"/>
      <c r="BM98" s="37"/>
      <c r="BN98" s="37"/>
      <c r="BO98" s="37"/>
      <c r="BP98" s="37"/>
      <c r="BQ98" s="37"/>
      <c r="BR98" s="37"/>
      <c r="BS98" s="37"/>
      <c r="BT98" s="37"/>
    </row>
    <row r="99" spans="58:72" x14ac:dyDescent="0.3">
      <c r="BF99" s="37"/>
      <c r="BG99" s="37"/>
      <c r="BH99" s="37"/>
      <c r="BI99" s="37"/>
      <c r="BJ99" s="37"/>
      <c r="BK99" s="37"/>
      <c r="BL99" s="37"/>
      <c r="BM99" s="37"/>
      <c r="BN99" s="37"/>
      <c r="BO99" s="37"/>
      <c r="BP99" s="37"/>
      <c r="BQ99" s="37"/>
      <c r="BR99" s="37"/>
      <c r="BS99" s="37"/>
      <c r="BT99" s="37"/>
    </row>
    <row r="100" spans="58:72" x14ac:dyDescent="0.3">
      <c r="BF100" s="37"/>
      <c r="BG100" s="37"/>
      <c r="BH100" s="37"/>
      <c r="BI100" s="37"/>
      <c r="BJ100" s="37"/>
      <c r="BK100" s="37"/>
      <c r="BL100" s="37"/>
      <c r="BM100" s="37"/>
      <c r="BN100" s="37"/>
      <c r="BO100" s="37"/>
      <c r="BP100" s="37"/>
      <c r="BQ100" s="37"/>
      <c r="BR100" s="37"/>
      <c r="BS100" s="37"/>
      <c r="BT100" s="37"/>
    </row>
    <row r="101" spans="58:72" x14ac:dyDescent="0.3">
      <c r="BF101" s="37"/>
      <c r="BG101" s="37"/>
      <c r="BH101" s="37"/>
      <c r="BI101" s="37"/>
      <c r="BJ101" s="37"/>
      <c r="BK101" s="37"/>
      <c r="BL101" s="37"/>
      <c r="BM101" s="37"/>
      <c r="BN101" s="37"/>
      <c r="BO101" s="37"/>
      <c r="BP101" s="37"/>
      <c r="BQ101" s="37"/>
      <c r="BR101" s="37"/>
      <c r="BS101" s="37"/>
      <c r="BT101" s="37"/>
    </row>
    <row r="102" spans="58:72" x14ac:dyDescent="0.3">
      <c r="BF102" s="37"/>
      <c r="BG102" s="37"/>
      <c r="BH102" s="37"/>
      <c r="BI102" s="37"/>
      <c r="BJ102" s="37"/>
      <c r="BK102" s="37"/>
      <c r="BL102" s="37"/>
      <c r="BM102" s="37"/>
      <c r="BN102" s="37"/>
      <c r="BO102" s="37"/>
      <c r="BP102" s="37"/>
      <c r="BQ102" s="37"/>
      <c r="BR102" s="37"/>
      <c r="BS102" s="37"/>
      <c r="BT102" s="37"/>
    </row>
    <row r="103" spans="58:72" x14ac:dyDescent="0.3">
      <c r="BF103" s="37"/>
      <c r="BG103" s="37"/>
      <c r="BH103" s="37"/>
      <c r="BI103" s="37"/>
      <c r="BJ103" s="37"/>
      <c r="BK103" s="37"/>
      <c r="BL103" s="37"/>
      <c r="BM103" s="37"/>
      <c r="BN103" s="37"/>
      <c r="BO103" s="37"/>
      <c r="BP103" s="37"/>
      <c r="BQ103" s="37"/>
      <c r="BR103" s="37"/>
      <c r="BS103" s="37"/>
      <c r="BT103" s="37"/>
    </row>
    <row r="104" spans="58:72" x14ac:dyDescent="0.3">
      <c r="BF104" s="37"/>
      <c r="BG104" s="37"/>
      <c r="BH104" s="37"/>
      <c r="BI104" s="37"/>
      <c r="BJ104" s="37"/>
      <c r="BK104" s="37"/>
      <c r="BL104" s="37"/>
      <c r="BM104" s="37"/>
      <c r="BN104" s="37"/>
      <c r="BO104" s="37"/>
      <c r="BP104" s="37"/>
      <c r="BQ104" s="37"/>
      <c r="BR104" s="37"/>
      <c r="BS104" s="37"/>
      <c r="BT104" s="37"/>
    </row>
    <row r="105" spans="58:72" x14ac:dyDescent="0.3">
      <c r="BF105" s="37"/>
      <c r="BG105" s="37"/>
      <c r="BH105" s="37"/>
      <c r="BI105" s="37"/>
      <c r="BJ105" s="37"/>
      <c r="BK105" s="37"/>
      <c r="BL105" s="37"/>
      <c r="BM105" s="37"/>
      <c r="BN105" s="37"/>
      <c r="BO105" s="37"/>
      <c r="BP105" s="37"/>
      <c r="BQ105" s="37"/>
      <c r="BR105" s="37"/>
      <c r="BS105" s="37"/>
      <c r="BT105" s="37"/>
    </row>
    <row r="106" spans="58:72" x14ac:dyDescent="0.3">
      <c r="BF106" s="37"/>
      <c r="BG106" s="37"/>
      <c r="BH106" s="37"/>
      <c r="BI106" s="37"/>
      <c r="BJ106" s="37"/>
      <c r="BK106" s="37"/>
      <c r="BL106" s="37"/>
      <c r="BM106" s="37"/>
      <c r="BN106" s="37"/>
      <c r="BO106" s="37"/>
      <c r="BP106" s="37"/>
      <c r="BQ106" s="37"/>
      <c r="BR106" s="37"/>
      <c r="BS106" s="37"/>
      <c r="BT106" s="37"/>
    </row>
    <row r="107" spans="58:72" x14ac:dyDescent="0.3">
      <c r="BF107" s="37"/>
      <c r="BG107" s="37"/>
      <c r="BH107" s="37"/>
      <c r="BI107" s="37"/>
      <c r="BJ107" s="37"/>
      <c r="BK107" s="37"/>
      <c r="BL107" s="37"/>
      <c r="BM107" s="37"/>
      <c r="BN107" s="37"/>
      <c r="BO107" s="37"/>
      <c r="BP107" s="37"/>
      <c r="BQ107" s="37"/>
      <c r="BR107" s="37"/>
      <c r="BS107" s="37"/>
      <c r="BT107" s="37"/>
    </row>
    <row r="108" spans="58:72" x14ac:dyDescent="0.3">
      <c r="BF108" s="37"/>
      <c r="BG108" s="37"/>
      <c r="BH108" s="37"/>
      <c r="BI108" s="37"/>
      <c r="BJ108" s="37"/>
      <c r="BK108" s="37"/>
      <c r="BL108" s="37"/>
      <c r="BM108" s="37"/>
      <c r="BN108" s="37"/>
      <c r="BO108" s="37"/>
      <c r="BP108" s="37"/>
      <c r="BQ108" s="37"/>
      <c r="BR108" s="37"/>
      <c r="BS108" s="37"/>
      <c r="BT108" s="37"/>
    </row>
    <row r="109" spans="58:72" x14ac:dyDescent="0.3">
      <c r="BF109" s="37"/>
      <c r="BG109" s="37"/>
      <c r="BH109" s="37"/>
      <c r="BI109" s="37"/>
      <c r="BJ109" s="37"/>
      <c r="BK109" s="37"/>
      <c r="BL109" s="37"/>
      <c r="BM109" s="37"/>
      <c r="BN109" s="37"/>
      <c r="BO109" s="37"/>
      <c r="BP109" s="37"/>
      <c r="BQ109" s="37"/>
      <c r="BR109" s="37"/>
      <c r="BS109" s="37"/>
      <c r="BT109" s="37"/>
    </row>
    <row r="110" spans="58:72" x14ac:dyDescent="0.3">
      <c r="BF110" s="37"/>
      <c r="BG110" s="37"/>
      <c r="BH110" s="37"/>
      <c r="BI110" s="37"/>
      <c r="BJ110" s="37"/>
      <c r="BK110" s="37"/>
      <c r="BL110" s="37"/>
      <c r="BM110" s="37"/>
      <c r="BN110" s="37"/>
      <c r="BO110" s="37"/>
      <c r="BP110" s="37"/>
      <c r="BQ110" s="37"/>
      <c r="BR110" s="37"/>
      <c r="BS110" s="37"/>
      <c r="BT110" s="37"/>
    </row>
    <row r="111" spans="58:72" x14ac:dyDescent="0.3">
      <c r="BF111" s="37"/>
      <c r="BG111" s="37"/>
      <c r="BH111" s="37"/>
      <c r="BI111" s="37"/>
      <c r="BJ111" s="37"/>
      <c r="BK111" s="37"/>
      <c r="BL111" s="37"/>
      <c r="BM111" s="37"/>
      <c r="BN111" s="37"/>
      <c r="BO111" s="37"/>
      <c r="BP111" s="37"/>
      <c r="BQ111" s="37"/>
      <c r="BR111" s="37"/>
      <c r="BS111" s="37"/>
      <c r="BT111" s="37"/>
    </row>
    <row r="112" spans="58:72" x14ac:dyDescent="0.3">
      <c r="BF112" s="37"/>
      <c r="BG112" s="37"/>
      <c r="BH112" s="37"/>
      <c r="BI112" s="37"/>
      <c r="BJ112" s="37"/>
      <c r="BK112" s="37"/>
      <c r="BL112" s="37"/>
      <c r="BM112" s="37"/>
      <c r="BN112" s="37"/>
      <c r="BO112" s="37"/>
      <c r="BP112" s="37"/>
      <c r="BQ112" s="37"/>
      <c r="BR112" s="37"/>
      <c r="BS112" s="37"/>
      <c r="BT112" s="37"/>
    </row>
    <row r="113" spans="58:72" x14ac:dyDescent="0.3">
      <c r="BF113" s="37"/>
      <c r="BG113" s="37"/>
      <c r="BH113" s="37"/>
      <c r="BI113" s="37"/>
      <c r="BJ113" s="37"/>
      <c r="BK113" s="37"/>
      <c r="BL113" s="37"/>
      <c r="BM113" s="37"/>
      <c r="BN113" s="37"/>
      <c r="BO113" s="37"/>
      <c r="BP113" s="37"/>
      <c r="BQ113" s="37"/>
      <c r="BR113" s="37"/>
      <c r="BS113" s="37"/>
      <c r="BT113" s="37"/>
    </row>
    <row r="114" spans="58:72" x14ac:dyDescent="0.3">
      <c r="BF114" s="37"/>
      <c r="BG114" s="37"/>
      <c r="BH114" s="37"/>
      <c r="BI114" s="37"/>
      <c r="BJ114" s="37"/>
      <c r="BK114" s="37"/>
      <c r="BL114" s="37"/>
      <c r="BM114" s="37"/>
      <c r="BN114" s="37"/>
      <c r="BO114" s="37"/>
      <c r="BP114" s="37"/>
      <c r="BQ114" s="37"/>
      <c r="BR114" s="37"/>
      <c r="BS114" s="37"/>
      <c r="BT114" s="37"/>
    </row>
    <row r="115" spans="58:72" x14ac:dyDescent="0.3">
      <c r="BF115" s="37"/>
      <c r="BG115" s="37"/>
      <c r="BH115" s="37"/>
      <c r="BI115" s="37"/>
      <c r="BJ115" s="37"/>
      <c r="BK115" s="37"/>
      <c r="BL115" s="37"/>
      <c r="BM115" s="37"/>
      <c r="BN115" s="37"/>
      <c r="BO115" s="37"/>
      <c r="BP115" s="37"/>
      <c r="BQ115" s="37"/>
      <c r="BR115" s="37"/>
      <c r="BS115" s="37"/>
      <c r="BT115" s="37"/>
    </row>
    <row r="116" spans="58:72" x14ac:dyDescent="0.3">
      <c r="BF116" s="37"/>
      <c r="BG116" s="37"/>
      <c r="BH116" s="37"/>
      <c r="BI116" s="37"/>
      <c r="BJ116" s="37"/>
      <c r="BK116" s="37"/>
      <c r="BL116" s="37"/>
      <c r="BM116" s="37"/>
      <c r="BN116" s="37"/>
      <c r="BO116" s="37"/>
      <c r="BP116" s="37"/>
      <c r="BQ116" s="37"/>
      <c r="BR116" s="37"/>
      <c r="BS116" s="37"/>
      <c r="BT116" s="37"/>
    </row>
    <row r="117" spans="58:72" x14ac:dyDescent="0.3">
      <c r="BF117" s="37"/>
      <c r="BG117" s="37"/>
      <c r="BH117" s="37"/>
      <c r="BI117" s="37"/>
      <c r="BJ117" s="37"/>
      <c r="BK117" s="37"/>
      <c r="BL117" s="37"/>
      <c r="BM117" s="37"/>
      <c r="BN117" s="37"/>
      <c r="BO117" s="37"/>
      <c r="BP117" s="37"/>
      <c r="BQ117" s="37"/>
      <c r="BR117" s="37"/>
      <c r="BS117" s="37"/>
      <c r="BT117" s="37"/>
    </row>
    <row r="118" spans="58:72" x14ac:dyDescent="0.3">
      <c r="BF118" s="37"/>
      <c r="BG118" s="37"/>
      <c r="BH118" s="37"/>
      <c r="BI118" s="37"/>
      <c r="BJ118" s="37"/>
      <c r="BK118" s="37"/>
      <c r="BL118" s="37"/>
      <c r="BM118" s="37"/>
      <c r="BN118" s="37"/>
      <c r="BO118" s="37"/>
      <c r="BP118" s="37"/>
      <c r="BQ118" s="37"/>
      <c r="BR118" s="37"/>
      <c r="BS118" s="37"/>
      <c r="BT118" s="37"/>
    </row>
    <row r="119" spans="58:72" x14ac:dyDescent="0.3">
      <c r="BF119" s="37"/>
      <c r="BG119" s="37"/>
      <c r="BH119" s="37"/>
      <c r="BI119" s="37"/>
      <c r="BJ119" s="37"/>
      <c r="BK119" s="37"/>
      <c r="BL119" s="37"/>
      <c r="BM119" s="37"/>
      <c r="BN119" s="37"/>
      <c r="BO119" s="37"/>
      <c r="BP119" s="37"/>
      <c r="BQ119" s="37"/>
      <c r="BR119" s="37"/>
      <c r="BS119" s="37"/>
      <c r="BT119" s="37"/>
    </row>
    <row r="120" spans="58:72" x14ac:dyDescent="0.3">
      <c r="BF120" s="37"/>
      <c r="BG120" s="37"/>
      <c r="BH120" s="37"/>
      <c r="BI120" s="37"/>
      <c r="BJ120" s="37"/>
      <c r="BK120" s="37"/>
      <c r="BL120" s="37"/>
      <c r="BM120" s="37"/>
      <c r="BN120" s="37"/>
      <c r="BO120" s="37"/>
      <c r="BP120" s="37"/>
      <c r="BQ120" s="37"/>
      <c r="BR120" s="37"/>
      <c r="BS120" s="37"/>
      <c r="BT120" s="37"/>
    </row>
    <row r="121" spans="58:72" x14ac:dyDescent="0.3">
      <c r="BF121" s="37"/>
      <c r="BG121" s="37"/>
      <c r="BH121" s="37"/>
      <c r="BI121" s="37"/>
      <c r="BJ121" s="37"/>
      <c r="BK121" s="37"/>
      <c r="BL121" s="37"/>
      <c r="BM121" s="37"/>
      <c r="BN121" s="37"/>
      <c r="BO121" s="37"/>
      <c r="BP121" s="37"/>
      <c r="BQ121" s="37"/>
      <c r="BR121" s="37"/>
      <c r="BS121" s="37"/>
      <c r="BT121" s="37"/>
    </row>
    <row r="122" spans="58:72" x14ac:dyDescent="0.3">
      <c r="BF122" s="37"/>
      <c r="BG122" s="37"/>
      <c r="BH122" s="37"/>
      <c r="BI122" s="37"/>
      <c r="BJ122" s="37"/>
      <c r="BK122" s="37"/>
      <c r="BL122" s="37"/>
      <c r="BM122" s="37"/>
      <c r="BN122" s="37"/>
      <c r="BO122" s="37"/>
      <c r="BP122" s="37"/>
      <c r="BQ122" s="37"/>
      <c r="BR122" s="37"/>
      <c r="BS122" s="37"/>
      <c r="BT122" s="37"/>
    </row>
    <row r="123" spans="58:72" x14ac:dyDescent="0.3">
      <c r="BF123" s="37"/>
      <c r="BG123" s="37"/>
      <c r="BH123" s="37"/>
      <c r="BI123" s="37"/>
      <c r="BJ123" s="37"/>
      <c r="BK123" s="37"/>
      <c r="BL123" s="37"/>
      <c r="BM123" s="37"/>
      <c r="BN123" s="37"/>
      <c r="BO123" s="37"/>
      <c r="BP123" s="37"/>
      <c r="BQ123" s="37"/>
      <c r="BR123" s="37"/>
      <c r="BS123" s="37"/>
      <c r="BT123" s="37"/>
    </row>
    <row r="124" spans="58:72" x14ac:dyDescent="0.3">
      <c r="BF124" s="37"/>
      <c r="BG124" s="37"/>
      <c r="BH124" s="37"/>
      <c r="BI124" s="37"/>
      <c r="BJ124" s="37"/>
      <c r="BK124" s="37"/>
      <c r="BL124" s="37"/>
      <c r="BM124" s="37"/>
      <c r="BN124" s="37"/>
      <c r="BO124" s="37"/>
      <c r="BP124" s="37"/>
      <c r="BQ124" s="37"/>
      <c r="BR124" s="37"/>
      <c r="BS124" s="37"/>
      <c r="BT124" s="37"/>
    </row>
    <row r="125" spans="58:72" x14ac:dyDescent="0.3">
      <c r="BF125" s="37"/>
      <c r="BG125" s="37"/>
      <c r="BH125" s="37"/>
      <c r="BI125" s="37"/>
      <c r="BJ125" s="37"/>
      <c r="BK125" s="37"/>
      <c r="BL125" s="37"/>
      <c r="BM125" s="37"/>
      <c r="BN125" s="37"/>
      <c r="BO125" s="37"/>
      <c r="BP125" s="37"/>
      <c r="BQ125" s="37"/>
      <c r="BR125" s="37"/>
      <c r="BS125" s="37"/>
      <c r="BT125" s="37"/>
    </row>
    <row r="126" spans="58:72" x14ac:dyDescent="0.3">
      <c r="BF126" s="37"/>
      <c r="BG126" s="37"/>
      <c r="BH126" s="37"/>
      <c r="BI126" s="37"/>
      <c r="BJ126" s="37"/>
      <c r="BK126" s="37"/>
      <c r="BL126" s="37"/>
      <c r="BM126" s="37"/>
      <c r="BN126" s="37"/>
      <c r="BO126" s="37"/>
      <c r="BP126" s="37"/>
      <c r="BQ126" s="37"/>
      <c r="BR126" s="37"/>
      <c r="BS126" s="37"/>
      <c r="BT126" s="37"/>
    </row>
    <row r="127" spans="58:72" x14ac:dyDescent="0.3">
      <c r="BF127" s="37"/>
      <c r="BG127" s="37"/>
      <c r="BH127" s="37"/>
      <c r="BI127" s="37"/>
      <c r="BJ127" s="37"/>
      <c r="BK127" s="37"/>
      <c r="BL127" s="37"/>
      <c r="BM127" s="37"/>
      <c r="BN127" s="37"/>
      <c r="BO127" s="37"/>
      <c r="BP127" s="37"/>
      <c r="BQ127" s="37"/>
      <c r="BR127" s="37"/>
      <c r="BS127" s="37"/>
      <c r="BT127" s="37"/>
    </row>
    <row r="128" spans="58:72" x14ac:dyDescent="0.3">
      <c r="BF128" s="37"/>
      <c r="BG128" s="37"/>
      <c r="BH128" s="37"/>
      <c r="BI128" s="37"/>
      <c r="BJ128" s="37"/>
      <c r="BK128" s="37"/>
      <c r="BL128" s="37"/>
      <c r="BM128" s="37"/>
      <c r="BN128" s="37"/>
      <c r="BO128" s="37"/>
      <c r="BP128" s="37"/>
      <c r="BQ128" s="37"/>
      <c r="BR128" s="37"/>
      <c r="BS128" s="37"/>
      <c r="BT128" s="37"/>
    </row>
    <row r="129" spans="58:72" x14ac:dyDescent="0.3">
      <c r="BF129" s="37"/>
      <c r="BG129" s="37"/>
      <c r="BH129" s="37"/>
      <c r="BI129" s="37"/>
      <c r="BJ129" s="37"/>
      <c r="BK129" s="37"/>
      <c r="BL129" s="37"/>
      <c r="BM129" s="37"/>
      <c r="BN129" s="37"/>
      <c r="BO129" s="37"/>
      <c r="BP129" s="37"/>
      <c r="BQ129" s="37"/>
      <c r="BR129" s="37"/>
      <c r="BS129" s="37"/>
      <c r="BT129" s="37"/>
    </row>
    <row r="130" spans="58:72" x14ac:dyDescent="0.3">
      <c r="BF130" s="37"/>
      <c r="BG130" s="37"/>
      <c r="BH130" s="37"/>
      <c r="BI130" s="37"/>
      <c r="BJ130" s="37"/>
      <c r="BK130" s="37"/>
      <c r="BL130" s="37"/>
      <c r="BM130" s="37"/>
      <c r="BN130" s="37"/>
      <c r="BO130" s="37"/>
      <c r="BP130" s="37"/>
      <c r="BQ130" s="37"/>
      <c r="BR130" s="37"/>
      <c r="BS130" s="37"/>
      <c r="BT130" s="37"/>
    </row>
    <row r="131" spans="58:72" x14ac:dyDescent="0.3">
      <c r="BF131" s="37"/>
      <c r="BG131" s="37"/>
      <c r="BH131" s="37"/>
      <c r="BI131" s="37"/>
      <c r="BJ131" s="37"/>
      <c r="BK131" s="37"/>
      <c r="BL131" s="37"/>
      <c r="BM131" s="37"/>
      <c r="BN131" s="37"/>
      <c r="BO131" s="37"/>
      <c r="BP131" s="37"/>
      <c r="BQ131" s="37"/>
      <c r="BR131" s="37"/>
      <c r="BS131" s="37"/>
      <c r="BT131" s="37"/>
    </row>
    <row r="132" spans="58:72" x14ac:dyDescent="0.3">
      <c r="BF132" s="37"/>
      <c r="BG132" s="37"/>
      <c r="BH132" s="37"/>
      <c r="BI132" s="37"/>
      <c r="BJ132" s="37"/>
      <c r="BK132" s="37"/>
      <c r="BL132" s="37"/>
      <c r="BM132" s="37"/>
      <c r="BN132" s="37"/>
      <c r="BO132" s="37"/>
      <c r="BP132" s="37"/>
      <c r="BQ132" s="37"/>
      <c r="BR132" s="37"/>
      <c r="BS132" s="37"/>
      <c r="BT132" s="37"/>
    </row>
    <row r="133" spans="58:72" x14ac:dyDescent="0.3">
      <c r="BF133" s="37"/>
      <c r="BG133" s="37"/>
      <c r="BH133" s="37"/>
      <c r="BI133" s="37"/>
      <c r="BJ133" s="37"/>
      <c r="BK133" s="37"/>
      <c r="BL133" s="37"/>
      <c r="BM133" s="37"/>
      <c r="BN133" s="37"/>
      <c r="BO133" s="37"/>
      <c r="BP133" s="37"/>
      <c r="BQ133" s="37"/>
      <c r="BR133" s="37"/>
      <c r="BS133" s="37"/>
      <c r="BT133" s="37"/>
    </row>
    <row r="134" spans="58:72" x14ac:dyDescent="0.3">
      <c r="BF134" s="37"/>
      <c r="BG134" s="37"/>
      <c r="BH134" s="37"/>
      <c r="BI134" s="37"/>
      <c r="BJ134" s="37"/>
      <c r="BK134" s="37"/>
      <c r="BL134" s="37"/>
      <c r="BM134" s="37"/>
      <c r="BN134" s="37"/>
      <c r="BO134" s="37"/>
      <c r="BP134" s="37"/>
      <c r="BQ134" s="37"/>
      <c r="BR134" s="37"/>
      <c r="BS134" s="37"/>
      <c r="BT134" s="37"/>
    </row>
    <row r="135" spans="58:72" x14ac:dyDescent="0.3">
      <c r="BF135" s="37"/>
      <c r="BG135" s="37"/>
      <c r="BH135" s="37"/>
      <c r="BI135" s="37"/>
      <c r="BJ135" s="37"/>
      <c r="BK135" s="37"/>
      <c r="BL135" s="37"/>
      <c r="BM135" s="37"/>
      <c r="BN135" s="37"/>
      <c r="BO135" s="37"/>
      <c r="BP135" s="37"/>
      <c r="BQ135" s="37"/>
      <c r="BR135" s="37"/>
      <c r="BS135" s="37"/>
      <c r="BT135" s="37"/>
    </row>
    <row r="136" spans="58:72" x14ac:dyDescent="0.3">
      <c r="BF136" s="37"/>
      <c r="BG136" s="37"/>
      <c r="BH136" s="37"/>
      <c r="BI136" s="37"/>
      <c r="BJ136" s="37"/>
      <c r="BK136" s="37"/>
      <c r="BL136" s="37"/>
      <c r="BM136" s="37"/>
      <c r="BN136" s="37"/>
      <c r="BO136" s="37"/>
      <c r="BP136" s="37"/>
      <c r="BQ136" s="37"/>
      <c r="BR136" s="37"/>
      <c r="BS136" s="37"/>
      <c r="BT136" s="37"/>
    </row>
    <row r="137" spans="58:72" x14ac:dyDescent="0.3">
      <c r="BF137" s="37"/>
      <c r="BG137" s="37"/>
      <c r="BH137" s="37"/>
      <c r="BI137" s="37"/>
      <c r="BJ137" s="37"/>
      <c r="BK137" s="37"/>
      <c r="BL137" s="37"/>
      <c r="BM137" s="37"/>
      <c r="BN137" s="37"/>
      <c r="BO137" s="37"/>
      <c r="BP137" s="37"/>
      <c r="BQ137" s="37"/>
      <c r="BR137" s="37"/>
      <c r="BS137" s="37"/>
      <c r="BT137" s="37"/>
    </row>
    <row r="138" spans="58:72" x14ac:dyDescent="0.3">
      <c r="BF138" s="37"/>
      <c r="BG138" s="37"/>
      <c r="BH138" s="37"/>
      <c r="BI138" s="37"/>
      <c r="BJ138" s="37"/>
      <c r="BK138" s="37"/>
      <c r="BL138" s="37"/>
      <c r="BM138" s="37"/>
      <c r="BN138" s="37"/>
      <c r="BO138" s="37"/>
      <c r="BP138" s="37"/>
      <c r="BQ138" s="37"/>
      <c r="BR138" s="37"/>
      <c r="BS138" s="37"/>
      <c r="BT138" s="37"/>
    </row>
    <row r="139" spans="58:72" x14ac:dyDescent="0.3">
      <c r="BF139" s="37"/>
      <c r="BG139" s="37"/>
      <c r="BH139" s="37"/>
      <c r="BI139" s="37"/>
      <c r="BJ139" s="37"/>
      <c r="BK139" s="37"/>
      <c r="BL139" s="37"/>
      <c r="BM139" s="37"/>
      <c r="BN139" s="37"/>
      <c r="BO139" s="37"/>
      <c r="BP139" s="37"/>
      <c r="BQ139" s="37"/>
      <c r="BR139" s="37"/>
      <c r="BS139" s="37"/>
      <c r="BT139" s="37"/>
    </row>
    <row r="140" spans="58:72" x14ac:dyDescent="0.3">
      <c r="BF140" s="37"/>
      <c r="BG140" s="37"/>
      <c r="BH140" s="37"/>
      <c r="BI140" s="37"/>
      <c r="BJ140" s="37"/>
      <c r="BK140" s="37"/>
      <c r="BL140" s="37"/>
      <c r="BM140" s="37"/>
      <c r="BN140" s="37"/>
      <c r="BO140" s="37"/>
      <c r="BP140" s="37"/>
      <c r="BQ140" s="37"/>
      <c r="BR140" s="37"/>
      <c r="BS140" s="37"/>
      <c r="BT140" s="37"/>
    </row>
    <row r="141" spans="58:72" x14ac:dyDescent="0.3">
      <c r="BF141" s="37"/>
      <c r="BG141" s="37"/>
      <c r="BH141" s="37"/>
      <c r="BI141" s="37"/>
      <c r="BJ141" s="37"/>
      <c r="BK141" s="37"/>
      <c r="BL141" s="37"/>
      <c r="BM141" s="37"/>
      <c r="BN141" s="37"/>
      <c r="BO141" s="37"/>
      <c r="BP141" s="37"/>
      <c r="BQ141" s="37"/>
      <c r="BR141" s="37"/>
      <c r="BS141" s="37"/>
      <c r="BT141" s="37"/>
    </row>
    <row r="142" spans="58:72" x14ac:dyDescent="0.3">
      <c r="BF142" s="37"/>
      <c r="BG142" s="37"/>
      <c r="BH142" s="37"/>
      <c r="BI142" s="37"/>
      <c r="BJ142" s="37"/>
      <c r="BK142" s="37"/>
      <c r="BL142" s="37"/>
      <c r="BM142" s="37"/>
      <c r="BN142" s="37"/>
      <c r="BO142" s="37"/>
      <c r="BP142" s="37"/>
      <c r="BQ142" s="37"/>
      <c r="BR142" s="37"/>
      <c r="BS142" s="37"/>
      <c r="BT142" s="37"/>
    </row>
    <row r="143" spans="58:72" x14ac:dyDescent="0.3">
      <c r="BF143" s="37"/>
      <c r="BG143" s="37"/>
      <c r="BH143" s="37"/>
      <c r="BI143" s="37"/>
      <c r="BJ143" s="37"/>
      <c r="BK143" s="37"/>
      <c r="BL143" s="37"/>
      <c r="BM143" s="37"/>
      <c r="BN143" s="37"/>
      <c r="BO143" s="37"/>
      <c r="BP143" s="37"/>
      <c r="BQ143" s="37"/>
      <c r="BR143" s="37"/>
      <c r="BS143" s="37"/>
      <c r="BT143" s="37"/>
    </row>
    <row r="144" spans="58:72" x14ac:dyDescent="0.3">
      <c r="BF144" s="37"/>
      <c r="BG144" s="37"/>
      <c r="BH144" s="37"/>
      <c r="BI144" s="37"/>
      <c r="BJ144" s="37"/>
      <c r="BK144" s="37"/>
      <c r="BL144" s="37"/>
      <c r="BM144" s="37"/>
      <c r="BN144" s="37"/>
      <c r="BO144" s="37"/>
      <c r="BP144" s="37"/>
      <c r="BQ144" s="37"/>
      <c r="BR144" s="37"/>
      <c r="BS144" s="37"/>
      <c r="BT144" s="37"/>
    </row>
    <row r="145" spans="58:72" x14ac:dyDescent="0.3">
      <c r="BF145" s="37"/>
      <c r="BG145" s="37"/>
      <c r="BH145" s="37"/>
      <c r="BI145" s="37"/>
      <c r="BJ145" s="37"/>
      <c r="BK145" s="37"/>
      <c r="BL145" s="37"/>
      <c r="BM145" s="37"/>
      <c r="BN145" s="37"/>
      <c r="BO145" s="37"/>
      <c r="BP145" s="37"/>
      <c r="BQ145" s="37"/>
      <c r="BR145" s="37"/>
      <c r="BS145" s="37"/>
      <c r="BT145" s="37"/>
    </row>
    <row r="146" spans="58:72" x14ac:dyDescent="0.3">
      <c r="BF146" s="37"/>
      <c r="BG146" s="37"/>
      <c r="BH146" s="37"/>
      <c r="BI146" s="37"/>
      <c r="BJ146" s="37"/>
      <c r="BK146" s="37"/>
      <c r="BL146" s="37"/>
      <c r="BM146" s="37"/>
      <c r="BN146" s="37"/>
      <c r="BO146" s="37"/>
      <c r="BP146" s="37"/>
      <c r="BQ146" s="37"/>
      <c r="BR146" s="37"/>
      <c r="BS146" s="37"/>
      <c r="BT146" s="37"/>
    </row>
    <row r="147" spans="58:72" x14ac:dyDescent="0.3">
      <c r="BF147" s="37"/>
      <c r="BG147" s="37"/>
      <c r="BH147" s="37"/>
      <c r="BI147" s="37"/>
      <c r="BJ147" s="37"/>
      <c r="BK147" s="37"/>
      <c r="BL147" s="37"/>
      <c r="BM147" s="37"/>
      <c r="BN147" s="37"/>
      <c r="BO147" s="37"/>
      <c r="BP147" s="37"/>
      <c r="BQ147" s="37"/>
      <c r="BR147" s="37"/>
      <c r="BS147" s="37"/>
      <c r="BT147" s="37"/>
    </row>
    <row r="148" spans="58:72" x14ac:dyDescent="0.3">
      <c r="BF148" s="37"/>
      <c r="BG148" s="37"/>
      <c r="BH148" s="37"/>
      <c r="BI148" s="37"/>
      <c r="BJ148" s="37"/>
      <c r="BK148" s="37"/>
      <c r="BL148" s="37"/>
      <c r="BM148" s="37"/>
      <c r="BN148" s="37"/>
      <c r="BO148" s="37"/>
      <c r="BP148" s="37"/>
      <c r="BQ148" s="37"/>
      <c r="BR148" s="37"/>
      <c r="BS148" s="37"/>
      <c r="BT148" s="37"/>
    </row>
    <row r="149" spans="58:72" x14ac:dyDescent="0.3">
      <c r="BF149" s="37"/>
      <c r="BG149" s="37"/>
      <c r="BH149" s="37"/>
      <c r="BI149" s="37"/>
      <c r="BJ149" s="37"/>
      <c r="BK149" s="37"/>
      <c r="BL149" s="37"/>
      <c r="BM149" s="37"/>
      <c r="BN149" s="37"/>
      <c r="BO149" s="37"/>
      <c r="BP149" s="37"/>
      <c r="BQ149" s="37"/>
      <c r="BR149" s="37"/>
      <c r="BS149" s="37"/>
      <c r="BT149" s="37"/>
    </row>
    <row r="150" spans="58:72" x14ac:dyDescent="0.3">
      <c r="BF150" s="37"/>
      <c r="BG150" s="37"/>
      <c r="BH150" s="37"/>
      <c r="BI150" s="37"/>
      <c r="BJ150" s="37"/>
      <c r="BK150" s="37"/>
      <c r="BL150" s="37"/>
      <c r="BM150" s="37"/>
      <c r="BN150" s="37"/>
      <c r="BO150" s="37"/>
      <c r="BP150" s="37"/>
      <c r="BQ150" s="37"/>
      <c r="BR150" s="37"/>
      <c r="BS150" s="37"/>
      <c r="BT150" s="37"/>
    </row>
    <row r="151" spans="58:72" x14ac:dyDescent="0.3">
      <c r="BF151" s="37"/>
      <c r="BG151" s="37"/>
      <c r="BH151" s="37"/>
      <c r="BI151" s="37"/>
      <c r="BJ151" s="37"/>
      <c r="BK151" s="37"/>
      <c r="BL151" s="37"/>
      <c r="BM151" s="37"/>
      <c r="BN151" s="37"/>
      <c r="BO151" s="37"/>
      <c r="BP151" s="37"/>
      <c r="BQ151" s="37"/>
      <c r="BR151" s="37"/>
      <c r="BS151" s="37"/>
      <c r="BT151" s="37"/>
    </row>
    <row r="152" spans="58:72" x14ac:dyDescent="0.3">
      <c r="BF152" s="37"/>
      <c r="BG152" s="37"/>
      <c r="BH152" s="37"/>
      <c r="BI152" s="37"/>
      <c r="BJ152" s="37"/>
      <c r="BK152" s="37"/>
      <c r="BL152" s="37"/>
      <c r="BM152" s="37"/>
      <c r="BN152" s="37"/>
      <c r="BO152" s="37"/>
      <c r="BP152" s="37"/>
      <c r="BQ152" s="37"/>
      <c r="BR152" s="37"/>
      <c r="BS152" s="37"/>
      <c r="BT152" s="37"/>
    </row>
    <row r="153" spans="58:72" x14ac:dyDescent="0.3">
      <c r="BF153" s="37"/>
      <c r="BG153" s="37"/>
      <c r="BH153" s="37"/>
      <c r="BI153" s="37"/>
      <c r="BJ153" s="37"/>
      <c r="BK153" s="37"/>
      <c r="BL153" s="37"/>
      <c r="BM153" s="37"/>
      <c r="BN153" s="37"/>
      <c r="BO153" s="37"/>
      <c r="BP153" s="37"/>
      <c r="BQ153" s="37"/>
      <c r="BR153" s="37"/>
      <c r="BS153" s="37"/>
      <c r="BT153" s="37"/>
    </row>
    <row r="154" spans="58:72" x14ac:dyDescent="0.3">
      <c r="BF154" s="37"/>
      <c r="BG154" s="37"/>
      <c r="BH154" s="37"/>
      <c r="BI154" s="37"/>
      <c r="BJ154" s="37"/>
      <c r="BK154" s="37"/>
      <c r="BL154" s="37"/>
      <c r="BM154" s="37"/>
      <c r="BN154" s="37"/>
      <c r="BO154" s="37"/>
      <c r="BP154" s="37"/>
      <c r="BQ154" s="37"/>
      <c r="BR154" s="37"/>
      <c r="BS154" s="37"/>
      <c r="BT154" s="37"/>
    </row>
  </sheetData>
  <autoFilter ref="A3:AW8" xr:uid="{F947BC4B-CA7D-498A-A886-7EB35635C3CA}"/>
  <mergeCells count="7">
    <mergeCell ref="AR2:AW2"/>
    <mergeCell ref="H2:J2"/>
    <mergeCell ref="N2:Q2"/>
    <mergeCell ref="R2:S2"/>
    <mergeCell ref="U2:X2"/>
    <mergeCell ref="Y2:AL2"/>
    <mergeCell ref="AM2:AQ2"/>
  </mergeCells>
  <conditionalFormatting sqref="Y8:AC8 U6:AO7 U4:AT5 Y9:AD23 AW4:AW23 U9:U23 V8:X23 AE8:AO23 AP6:AT23">
    <cfRule type="expression" dxfId="35" priority="23">
      <formula>$T4&lt;&gt;"Setuju"</formula>
    </cfRule>
  </conditionalFormatting>
  <conditionalFormatting sqref="U8">
    <cfRule type="expression" dxfId="34" priority="22">
      <formula>$T8&lt;&gt;"Setuju"</formula>
    </cfRule>
  </conditionalFormatting>
  <conditionalFormatting sqref="V4:X4 V8:X23">
    <cfRule type="expression" dxfId="33" priority="20">
      <formula>$U4&lt;&gt;"Memulai Kembali"</formula>
    </cfRule>
  </conditionalFormatting>
  <conditionalFormatting sqref="AE4:AI4 AE8:AI23">
    <cfRule type="expression" dxfId="32" priority="17">
      <formula>$AD4&lt;&gt;"Ya"</formula>
    </cfRule>
  </conditionalFormatting>
  <conditionalFormatting sqref="AD8">
    <cfRule type="expression" dxfId="31" priority="14">
      <formula>$T8&lt;&gt;"Setuju"</formula>
    </cfRule>
  </conditionalFormatting>
  <conditionalFormatting sqref="AW6:AW8 AS4:AW5 AU6:AV23 AS9:AW23">
    <cfRule type="expression" dxfId="30" priority="13">
      <formula>$AR4&lt;&gt;"Ya"</formula>
    </cfRule>
  </conditionalFormatting>
  <conditionalFormatting sqref="AS6:AT8">
    <cfRule type="expression" dxfId="29" priority="10">
      <formula>$AR6&lt;&gt;"Ya"</formula>
    </cfRule>
  </conditionalFormatting>
  <conditionalFormatting sqref="AU6:AV6">
    <cfRule type="expression" dxfId="28" priority="9">
      <formula>$AR6&lt;&gt;"Ya"</formula>
    </cfRule>
  </conditionalFormatting>
  <conditionalFormatting sqref="AU7:AV7">
    <cfRule type="expression" dxfId="27" priority="8">
      <formula>$AR7&lt;&gt;"Ya"</formula>
    </cfRule>
  </conditionalFormatting>
  <conditionalFormatting sqref="AU8:AV8">
    <cfRule type="expression" dxfId="26" priority="7">
      <formula>$AR8&lt;&gt;"Ya"</formula>
    </cfRule>
  </conditionalFormatting>
  <conditionalFormatting sqref="V6:X7">
    <cfRule type="expression" dxfId="25" priority="4">
      <formula>$U6&lt;&gt;"Memulai Kembali"</formula>
    </cfRule>
  </conditionalFormatting>
  <conditionalFormatting sqref="AE6:AI7">
    <cfRule type="expression" dxfId="24" priority="3">
      <formula>$AD6&lt;&gt;"Ya"</formula>
    </cfRule>
  </conditionalFormatting>
  <conditionalFormatting sqref="V5:X5">
    <cfRule type="expression" dxfId="23" priority="2">
      <formula>$U5&lt;&gt;"Memulai Kembali"</formula>
    </cfRule>
  </conditionalFormatting>
  <conditionalFormatting sqref="AE5:AI5">
    <cfRule type="expression" dxfId="22" priority="1">
      <formula>$AD5&lt;&gt;"Ya"</formula>
    </cfRule>
  </conditionalFormatting>
  <dataValidations count="16">
    <dataValidation type="date" allowBlank="1" showInputMessage="1" showErrorMessage="1" sqref="AU4:AV23 AP4:AQ23 O4:O23 F4:F23" xr:uid="{F2FA5311-B214-4FB9-84EC-2B8675CA3978}">
      <formula1>45292</formula1>
      <formula2>46023</formula2>
    </dataValidation>
    <dataValidation type="list" allowBlank="1" showInputMessage="1" showErrorMessage="1" sqref="AW4:AW23" xr:uid="{8B8413DD-F4B2-429F-BE2C-2E8ABA5161BA}">
      <formula1>hasil_sifilis</formula1>
    </dataValidation>
    <dataValidation type="list" allowBlank="1" showInputMessage="1" showErrorMessage="1" sqref="AN4:AN23" xr:uid="{3D00CE89-72D9-4E0E-8048-FA10F0A3709C}">
      <formula1>rejimen_prep</formula1>
    </dataValidation>
    <dataValidation type="list" allowBlank="1" showInputMessage="1" showErrorMessage="1" sqref="AJ4:AJ23" xr:uid="{39C570C5-DC24-4CC3-B24E-81D8E12AD4A3}">
      <formula1>pernah_prep</formula1>
    </dataValidation>
    <dataValidation type="list" allowBlank="1" showInputMessage="1" showErrorMessage="1" sqref="Y4:Y23" xr:uid="{85D6FE6D-CA5E-4EA4-9A01-C9B1521B6324}">
      <formula1>seks_melalui</formula1>
    </dataValidation>
    <dataValidation type="list" allowBlank="1" showInputMessage="1" showErrorMessage="1" sqref="X4:X23" xr:uid="{B16A9FC2-FC60-422D-A2AD-D4DFEDC86F2B}">
      <formula1>stop_prep</formula1>
    </dataValidation>
    <dataValidation type="list" allowBlank="1" showInputMessage="1" showErrorMessage="1" sqref="W4:W23" xr:uid="{CE317735-5139-4BC9-BD9C-453B2ED6BC78}">
      <formula1>terakhir_prep</formula1>
    </dataValidation>
    <dataValidation type="list" allowBlank="1" showInputMessage="1" showErrorMessage="1" sqref="V4:V23 AM4:AM23" xr:uid="{D460050F-29CB-43F4-B910-6EC322BA3649}">
      <formula1>metode_prep</formula1>
    </dataValidation>
    <dataValidation type="list" allowBlank="1" showInputMessage="1" showErrorMessage="1" sqref="U4:U23" xr:uid="{3407720E-B005-4CDF-8A50-B23748CD4DCE}">
      <formula1>status_mulai_prep</formula1>
    </dataValidation>
    <dataValidation type="list" allowBlank="1" showInputMessage="1" showErrorMessage="1" sqref="T4:T23" xr:uid="{C462D42D-CD60-4D96-B8A4-3C426FD593DD}">
      <formula1>setuju</formula1>
    </dataValidation>
    <dataValidation type="list" allowBlank="1" showInputMessage="1" showErrorMessage="1" sqref="N4:N23" xr:uid="{277D3E5D-68FA-483B-B585-31F6D45E0046}">
      <formula1>hasil_hiv</formula1>
    </dataValidation>
    <dataValidation type="list" allowBlank="1" showInputMessage="1" showErrorMessage="1" sqref="M4:M23" xr:uid="{4F88A4F0-25AF-49CE-807A-5A53AD4F54A5}">
      <formula1>informasi_prep</formula1>
    </dataValidation>
    <dataValidation type="list" allowBlank="1" showInputMessage="1" showErrorMessage="1" sqref="AB4:AI23" xr:uid="{5EE7B607-AB37-4C4C-B358-359BDBA88F3B}">
      <formula1>ya_tdk_tdktahu</formula1>
    </dataValidation>
    <dataValidation type="list" allowBlank="1" showInputMessage="1" showErrorMessage="1" sqref="K4:L23 AK4:AK23 AR4:AR23" xr:uid="{F5BA55AE-2CE9-4293-9AEB-B2964618B868}">
      <formula1>ya_tdk</formula1>
    </dataValidation>
    <dataValidation type="list" allowBlank="1" showInputMessage="1" showErrorMessage="1" sqref="R4:S23" xr:uid="{3EEF96BA-A72F-4243-B49B-A9CC8BEA174A}">
      <formula1>tidak_only</formula1>
    </dataValidation>
    <dataValidation type="list" allowBlank="1" showInputMessage="1" showErrorMessage="1" sqref="B4:B23" xr:uid="{86FD1855-115D-44C8-B452-F161A90EA733}">
      <formula1>ya_proses</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13C1F-C417-48DF-A110-C807D203C0C5}">
  <sheetPr codeName="Sheet5"/>
  <dimension ref="A1:FB24"/>
  <sheetViews>
    <sheetView showGridLines="0" showRowColHeaders="0" workbookViewId="0">
      <pane xSplit="3" ySplit="3" topLeftCell="J4" activePane="bottomRight" state="frozen"/>
      <selection pane="topRight" activeCell="D1" sqref="D1"/>
      <selection pane="bottomLeft" activeCell="A4" sqref="A4"/>
      <selection pane="bottomRight" activeCell="B4" sqref="B4"/>
    </sheetView>
  </sheetViews>
  <sheetFormatPr defaultRowHeight="14.4" x14ac:dyDescent="0.3"/>
  <cols>
    <col min="1" max="1" width="5.5546875" customWidth="1"/>
    <col min="2" max="2" width="13.77734375" customWidth="1"/>
    <col min="3" max="3" width="25.77734375" customWidth="1"/>
    <col min="4" max="4" width="12.77734375" customWidth="1"/>
    <col min="5" max="5" width="18.109375" customWidth="1"/>
    <col min="6" max="6" width="16.77734375" customWidth="1"/>
    <col min="7" max="7" width="15.6640625" customWidth="1"/>
    <col min="8" max="8" width="9.77734375" customWidth="1"/>
    <col min="9" max="9" width="16.77734375" customWidth="1"/>
    <col min="10" max="10" width="10.77734375" customWidth="1"/>
    <col min="11" max="11" width="10.6640625" customWidth="1"/>
    <col min="12" max="12" width="10.5546875" customWidth="1"/>
    <col min="13" max="13" width="12.6640625" customWidth="1"/>
    <col min="14" max="14" width="12.109375" customWidth="1"/>
    <col min="15" max="15" width="10.5546875" customWidth="1"/>
    <col min="16" max="16" width="10.21875" customWidth="1"/>
    <col min="17" max="17" width="7.88671875" customWidth="1"/>
    <col min="18" max="18" width="9.44140625" customWidth="1"/>
    <col min="19" max="19" width="10.6640625" customWidth="1"/>
    <col min="20" max="21" width="13.88671875" customWidth="1"/>
    <col min="23" max="23" width="14.44140625" customWidth="1"/>
    <col min="24" max="24" width="15.109375" customWidth="1"/>
    <col min="25" max="25" width="11.77734375" customWidth="1"/>
    <col min="27" max="27" width="13.77734375" customWidth="1"/>
    <col min="28" max="28" width="14.77734375" customWidth="1"/>
    <col min="29" max="29" width="7.44140625" customWidth="1"/>
    <col min="30" max="30" width="5.6640625" customWidth="1"/>
    <col min="31" max="31" width="5" customWidth="1"/>
    <col min="32" max="32" width="8.88671875" customWidth="1"/>
    <col min="35" max="35" width="10.44140625" customWidth="1"/>
    <col min="36" max="36" width="6.21875" customWidth="1"/>
    <col min="37" max="37" width="8.88671875" customWidth="1"/>
    <col min="38" max="38" width="8.21875" customWidth="1"/>
    <col min="39" max="39" width="13.109375" customWidth="1"/>
    <col min="40" max="40" width="5.21875" customWidth="1"/>
    <col min="41" max="41" width="13.21875" customWidth="1"/>
    <col min="43" max="43" width="10" customWidth="1"/>
    <col min="45" max="45" width="15.33203125" customWidth="1"/>
    <col min="46" max="46" width="13.5546875" customWidth="1"/>
    <col min="47" max="47" width="12" customWidth="1"/>
    <col min="48" max="48" width="7.88671875" customWidth="1"/>
    <col min="49" max="49" width="8" customWidth="1"/>
    <col min="50" max="50" width="11.33203125" customWidth="1"/>
    <col min="51" max="51" width="10.44140625" customWidth="1"/>
    <col min="53" max="53" width="13.44140625" customWidth="1"/>
    <col min="54" max="54" width="14.5546875" customWidth="1"/>
    <col min="55" max="55" width="12.21875" customWidth="1"/>
    <col min="57" max="57" width="7.88671875" customWidth="1"/>
    <col min="58" max="58" width="9.109375" customWidth="1"/>
    <col min="59" max="59" width="16.88671875" customWidth="1"/>
    <col min="60" max="60" width="13.44140625" customWidth="1"/>
    <col min="61" max="61" width="14.33203125" customWidth="1"/>
    <col min="62" max="62" width="13.77734375" customWidth="1"/>
    <col min="63" max="63" width="15.5546875" customWidth="1"/>
    <col min="64" max="64" width="12.77734375" customWidth="1"/>
    <col min="65" max="65" width="14.77734375" customWidth="1"/>
    <col min="66" max="66" width="15.33203125" customWidth="1"/>
    <col min="67" max="67" width="11.33203125" customWidth="1"/>
  </cols>
  <sheetData>
    <row r="1" spans="1:158" ht="24.6" customHeight="1" x14ac:dyDescent="0.3">
      <c r="A1" s="1">
        <f>COUNTIFS(A4:A49999,"&gt;0",B4:B49999,"Ya*")</f>
        <v>1</v>
      </c>
      <c r="B1" s="1">
        <f>COUNTIF(B4:B49999,"Ya*")</f>
        <v>1</v>
      </c>
      <c r="D1" s="1"/>
      <c r="E1" s="1"/>
      <c r="J1" s="1">
        <v>4</v>
      </c>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1">
        <f>SUM(CY1:FA1)</f>
        <v>0</v>
      </c>
      <c r="CY1" s="1">
        <f t="shared" ref="CY1:ED1" si="0">SUM(CY4:CY49999)</f>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f t="shared" si="0"/>
        <v>0</v>
      </c>
      <c r="DU1" s="1">
        <f t="shared" si="0"/>
        <v>0</v>
      </c>
      <c r="DV1" s="1">
        <f t="shared" si="0"/>
        <v>0</v>
      </c>
      <c r="DW1" s="1">
        <f t="shared" si="0"/>
        <v>0</v>
      </c>
      <c r="DX1" s="1">
        <f t="shared" si="0"/>
        <v>0</v>
      </c>
      <c r="DY1" s="1">
        <f t="shared" si="0"/>
        <v>0</v>
      </c>
      <c r="DZ1" s="1">
        <f t="shared" si="0"/>
        <v>0</v>
      </c>
      <c r="EA1" s="1">
        <f t="shared" si="0"/>
        <v>0</v>
      </c>
      <c r="EB1" s="1">
        <f t="shared" si="0"/>
        <v>0</v>
      </c>
      <c r="EC1" s="1">
        <f t="shared" si="0"/>
        <v>0</v>
      </c>
      <c r="ED1" s="1">
        <f t="shared" si="0"/>
        <v>0</v>
      </c>
      <c r="EE1" s="1">
        <f t="shared" ref="EE1:EZ1" si="1">SUM(EE4:EE49999)</f>
        <v>0</v>
      </c>
      <c r="EF1" s="1">
        <f t="shared" si="1"/>
        <v>0</v>
      </c>
      <c r="EG1" s="1">
        <f t="shared" si="1"/>
        <v>0</v>
      </c>
      <c r="EH1" s="1">
        <f t="shared" si="1"/>
        <v>0</v>
      </c>
      <c r="EI1" s="1">
        <f t="shared" si="1"/>
        <v>0</v>
      </c>
      <c r="EJ1" s="1">
        <f t="shared" si="1"/>
        <v>0</v>
      </c>
      <c r="EK1" s="1">
        <f t="shared" si="1"/>
        <v>0</v>
      </c>
      <c r="EL1" s="1">
        <f t="shared" si="1"/>
        <v>0</v>
      </c>
      <c r="EM1" s="1">
        <f t="shared" si="1"/>
        <v>0</v>
      </c>
      <c r="EN1" s="1">
        <f t="shared" si="1"/>
        <v>0</v>
      </c>
      <c r="EO1" s="1">
        <f t="shared" si="1"/>
        <v>0</v>
      </c>
      <c r="EP1" s="1">
        <f t="shared" si="1"/>
        <v>0</v>
      </c>
      <c r="EQ1" s="1">
        <f t="shared" si="1"/>
        <v>0</v>
      </c>
      <c r="ER1" s="1">
        <f t="shared" si="1"/>
        <v>0</v>
      </c>
      <c r="ES1" s="1">
        <f t="shared" si="1"/>
        <v>0</v>
      </c>
      <c r="ET1" s="1">
        <f t="shared" si="1"/>
        <v>0</v>
      </c>
      <c r="EU1" s="1">
        <f t="shared" si="1"/>
        <v>0</v>
      </c>
      <c r="EV1" s="1">
        <f t="shared" si="1"/>
        <v>0</v>
      </c>
      <c r="EW1" s="1">
        <f t="shared" si="1"/>
        <v>0</v>
      </c>
      <c r="EX1" s="1">
        <f t="shared" si="1"/>
        <v>0</v>
      </c>
      <c r="EY1" s="1">
        <f t="shared" si="1"/>
        <v>0</v>
      </c>
      <c r="EZ1" s="1">
        <f t="shared" si="1"/>
        <v>0</v>
      </c>
      <c r="FA1" s="1"/>
      <c r="FB1" s="37"/>
    </row>
    <row r="2" spans="1:158" ht="25.8" customHeight="1" x14ac:dyDescent="0.3">
      <c r="C2" s="2"/>
      <c r="J2" s="44" t="s">
        <v>168</v>
      </c>
      <c r="K2" s="44"/>
      <c r="L2" s="44"/>
      <c r="M2" s="44"/>
      <c r="N2" s="44"/>
      <c r="O2" s="44"/>
      <c r="P2" s="44"/>
      <c r="Q2" s="44"/>
      <c r="R2" s="44"/>
      <c r="S2" s="44"/>
      <c r="T2" s="44"/>
      <c r="U2" s="44"/>
      <c r="V2" s="44" t="s">
        <v>169</v>
      </c>
      <c r="W2" s="44"/>
      <c r="X2" s="44"/>
      <c r="Y2" s="44"/>
      <c r="Z2" s="44"/>
      <c r="AA2" s="44"/>
      <c r="AB2" s="44"/>
      <c r="AC2" s="44"/>
      <c r="AD2" s="44"/>
      <c r="AE2" s="44"/>
      <c r="AF2" s="44"/>
      <c r="AG2" s="44"/>
      <c r="AH2" s="44"/>
      <c r="AJ2" s="45" t="s">
        <v>171</v>
      </c>
      <c r="AK2" s="45"/>
      <c r="AL2" s="45"/>
      <c r="AM2" s="41" t="s">
        <v>172</v>
      </c>
      <c r="AN2" s="41"/>
      <c r="AO2" s="41"/>
      <c r="AP2" s="41"/>
      <c r="AQ2" s="41"/>
      <c r="AR2" s="44" t="s">
        <v>173</v>
      </c>
      <c r="AS2" s="44"/>
      <c r="AT2" s="44"/>
      <c r="AU2" s="44"/>
      <c r="AV2" s="44"/>
      <c r="AW2" s="44"/>
      <c r="AX2" s="44" t="s">
        <v>174</v>
      </c>
      <c r="AY2" s="44"/>
      <c r="AZ2" s="44"/>
      <c r="BA2" s="44"/>
      <c r="BB2" s="43" t="s">
        <v>175</v>
      </c>
      <c r="BC2" s="43"/>
      <c r="BD2" s="43"/>
      <c r="BE2" s="43"/>
      <c r="BF2" s="43"/>
      <c r="BG2" s="12"/>
      <c r="BH2" s="2" t="e">
        <f>IF(AND(format_date=TRUE,format_date_chrome="en-US"),VLOOKUP(MONTH(W2),month_2digit,2,FALSE)&amp;","&amp;VLOOKUP(DAY(W2),day_2digit,2,FALSE)&amp;","&amp;YEAR(W2),IF(AND(format_date=TRUE,format_date_chrome="id"),VLOOKUP(DAY(W2),day_2digit,2,FALSE)&amp;","&amp;VLOOKUP(MONTH(W2),month_2digit,2,FALSE)&amp;","&amp;YEAR(W2),VLOOKUP(DAY(W2),day_2digit,2,FALSE)&amp;","&amp;VLOOKUP(MONTH(W2),month_2digit,2,FALSE)&amp;","&amp;YEAR(W2)))</f>
        <v>#N/A</v>
      </c>
      <c r="BI2" s="2" t="e">
        <f>IF(AND(format_date=TRUE,format_date_chrome="en-US"),VLOOKUP(MONTH(X2),month_2digit,2,FALSE)&amp;","&amp;VLOOKUP(DAY(X2),day_2digit,2,FALSE)&amp;","&amp;YEAR(X2),IF(AND(format_date=TRUE,format_date_chrome="id"),VLOOKUP(DAY(X2),day_2digit,2,FALSE)&amp;","&amp;VLOOKUP(MONTH(X2),month_2digit,2,FALSE)&amp;","&amp;YEAR(X2),VLOOKUP(DAY(X2),day_2digit,2,FALSE)&amp;","&amp;VLOOKUP(MONTH(X2),month_2digit,2,FALSE)&amp;","&amp;YEAR(X2)))</f>
        <v>#N/A</v>
      </c>
      <c r="BJ2" s="2" t="e">
        <f>IF(AND(format_date=TRUE,format_date_chrome="en-US"),VLOOKUP(MONTH(AA2),month_2digit,2,FALSE)&amp;","&amp;VLOOKUP(DAY(AA2),day_2digit,2,FALSE)&amp;","&amp;YEAR(AA2),IF(AND(format_date=TRUE,format_date_chrome="id"),VLOOKUP(DAY(AA2),day_2digit,2,FALSE)&amp;","&amp;VLOOKUP(MONTH(AA2),month_2digit,2,FALSE)&amp;","&amp;YEAR(AA2),VLOOKUP(DAY(AA2),day_2digit,2,FALSE)&amp;","&amp;VLOOKUP(MONTH(AA2),month_2digit,2,FALSE)&amp;","&amp;YEAR(AA2)))</f>
        <v>#N/A</v>
      </c>
      <c r="BK2" s="2" t="e">
        <f>IF(AND(format_date=TRUE,format_date_chrome="en-US"),VLOOKUP(MONTH(AB2),month_2digit,2,FALSE)&amp;","&amp;VLOOKUP(DAY(AB2),day_2digit,2,FALSE)&amp;","&amp;YEAR(AB2),IF(AND(format_date=TRUE,format_date_chrome="id"),VLOOKUP(DAY(AB2),day_2digit,2,FALSE)&amp;","&amp;VLOOKUP(MONTH(AB2),month_2digit,2,FALSE)&amp;","&amp;YEAR(AB2),VLOOKUP(DAY(AB2),day_2digit,2,FALSE)&amp;","&amp;VLOOKUP(MONTH(AB2),month_2digit,2,FALSE)&amp;","&amp;YEAR(AB2)))</f>
        <v>#N/A</v>
      </c>
      <c r="BL2" s="2" t="e">
        <f>IF(AND(format_date=TRUE,format_date_chrome="en-US"),VLOOKUP(MONTH(BA2),month_2digit,2,FALSE)&amp;","&amp;VLOOKUP(DAY(BA2),day_2digit,2,FALSE)&amp;","&amp;YEAR(BA2),IF(AND(format_date=TRUE,format_date_chrome="id"),VLOOKUP(DAY(BA2),day_2digit,2,FALSE)&amp;","&amp;VLOOKUP(MONTH(BA2),month_2digit,2,FALSE)&amp;","&amp;YEAR(BA2),VLOOKUP(DAY(BA2),day_2digit,2,FALSE)&amp;","&amp;VLOOKUP(MONTH(BA2),month_2digit,2,FALSE)&amp;","&amp;YEAR(BA2)))</f>
        <v>#N/A</v>
      </c>
      <c r="BM2" s="2" t="e">
        <f>IF(AND(format_date=TRUE,format_date_chrome="en-US"),VLOOKUP(MONTH(BB2),month_2digit,2,FALSE)&amp;","&amp;VLOOKUP(DAY(BB2),day_2digit,2,FALSE)&amp;","&amp;YEAR(BB2),IF(AND(format_date=TRUE,format_date_chrome="id"),VLOOKUP(DAY(BB2),day_2digit,2,FALSE)&amp;","&amp;VLOOKUP(MONTH(BB2),month_2digit,2,FALSE)&amp;","&amp;YEAR(BB2),VLOOKUP(DAY(BB2),day_2digit,2,FALSE)&amp;","&amp;VLOOKUP(MONTH(BB2),month_2digit,2,FALSE)&amp;","&amp;YEAR(BB2)))</f>
        <v>#VALUE!</v>
      </c>
      <c r="BN2" s="2" t="e">
        <f>IF(AND(format_date=TRUE,format_date_chrome="en-US"),VLOOKUP(MONTH(BC2),month_2digit,2,FALSE)&amp;","&amp;VLOOKUP(DAY(BC2),day_2digit,2,FALSE)&amp;","&amp;YEAR(BC2),IF(AND(format_date=TRUE,format_date_chrome="id"),VLOOKUP(DAY(BC2),day_2digit,2,FALSE)&amp;","&amp;VLOOKUP(MONTH(BC2),month_2digit,2,FALSE)&amp;","&amp;YEAR(BC2),VLOOKUP(DAY(BC2),day_2digit,2,FALSE)&amp;","&amp;VLOOKUP(MONTH(BC2),month_2digit,2,FALSE)&amp;","&amp;YEAR(BC2)))</f>
        <v>#N/A</v>
      </c>
      <c r="BO2" s="2" t="e">
        <f>YEAR(G2)&amp;"-"&amp;VLOOKUP(MONTH(G2),month_2digit,2,FALSE)&amp;"-"&amp;VLOOKUP(DAY(G2),day_2digit,2,FALSE)</f>
        <v>#N/A</v>
      </c>
      <c r="BP2" s="2" t="e">
        <f>IF(AND(format_date=TRUE,format_date_chrome="en-US"),VLOOKUP(MONTH(G2),month_2digit,2,FALSE)&amp;VLOOKUP(DAY(G2),day_2digit,2,FALSE)&amp;YEAR(G2),IF(AND(format_date=TRUE,format_date_chrome="id"),VLOOKUP(DAY(G2),day_2digit,2,FALSE)&amp;VLOOKUP(MONTH(G2),month_2digit,2,FALSE)&amp;YEAR(G2),VLOOKUP(DAY(G2),day_2digit,2,FALSE)&amp;VLOOKUP(MONTH(G2),month_2digit,2,FALSE)&amp;","&amp;YEAR(G2)))</f>
        <v>#N/A</v>
      </c>
      <c r="BQ2" s="2"/>
      <c r="BR2" s="2"/>
      <c r="BS2" s="2" t="str">
        <f>VLOOKUP(MONTH(G2),admin_prep!$A$18:$B$29,2,FALSE)</f>
        <v>Jan</v>
      </c>
      <c r="BT2" s="17" t="str" cm="1">
        <f t="array" ref="BT2">UnixFromDate(G2)&amp;"000"</f>
        <v>-2209161600000</v>
      </c>
      <c r="BU2" s="2">
        <f>YEAR(G2)</f>
        <v>1900</v>
      </c>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1"/>
      <c r="CY2" s="1">
        <f>IF(OR($B2="Tidak",$B2=""),0,IF(E2="",1,IF(LEN(E2)&lt;&gt;16,1,0)))</f>
        <v>0</v>
      </c>
      <c r="CZ2" s="1">
        <f>IF(OR($B2="Tidak",$B2=""),0,IF($F2="",1,0))</f>
        <v>0</v>
      </c>
      <c r="DA2" s="1">
        <f>IF(OR($B2="Tidak",$B2=""),0,IF(G2="",1,IFERROR(VLOOKUP(MONTH(G2),admin_prep!$A$2:$C$13,3,FALSE),1)))</f>
        <v>0</v>
      </c>
      <c r="DB2" s="1">
        <f>IF(OR($B2="Tidak",$B2=""),0,IF(H2="",1,IFERROR(VLOOKUP(H2,admin_prep!$AU$2:$AV$10,2,FALSE),1)))</f>
        <v>0</v>
      </c>
      <c r="DC2" s="1">
        <f>IF(OR($B2="Tidak",$B2=""),0,IF(I2="",1,0))</f>
        <v>0</v>
      </c>
      <c r="DD2" s="1">
        <f>IF(OR($B2="Tidak",$B2=""),0,IF(J2="",0,IFERROR(VLOOKUP(J2,admin_prep!$M$2:$N$3,2,FALSE),1)))</f>
        <v>0</v>
      </c>
      <c r="DE2" s="1">
        <f>IF(OR($B2="Tidak",$B2=""),0,IF($J2&lt;&gt;"Ya",0,IF(K2="",0,IFERROR(VLOOKUP(K2,admin_prep!$M$2:$N$3,2,FALSE),1))))</f>
        <v>0</v>
      </c>
      <c r="DF2" s="1">
        <f>IF(OR($B2="Tidak",$B2=""),0,IF($J2&lt;&gt;"Ya",0,IF(L2="",0,IFERROR(VLOOKUP(L2,admin_prep!$M$2:$N$3,2,FALSE),1))))</f>
        <v>0</v>
      </c>
      <c r="DG2" s="1">
        <f>IF(OR($B2="Tidak",$B2=""),0,IF($J2&lt;&gt;"Ya",0,IF(M2="",0,IFERROR(VLOOKUP(M2,admin_prep!$M$2:$N$3,2,FALSE),1))))</f>
        <v>0</v>
      </c>
      <c r="DH2" s="1">
        <f>IF(OR($B2="Tidak",$B2=""),0,IF($J2&lt;&gt;"Ya",0,IF(N2="",0,IFERROR(VLOOKUP(N2,admin_prep!$M$2:$N$3,2,FALSE),1))))</f>
        <v>0</v>
      </c>
      <c r="DI2" s="1">
        <f>IF(OR($B2="Tidak",$B2=""),0,IF($J2&lt;&gt;"Ya",0,IF(O2="",0,IFERROR(VLOOKUP(O2,admin_prep!$M$2:$N$3,2,FALSE),1))))</f>
        <v>0</v>
      </c>
      <c r="DJ2" s="1">
        <f>IF(OR($B2="Tidak",$B2=""),0,IF($J2&lt;&gt;"Ya",0,IF(P2="",0,IFERROR(VLOOKUP(P2,admin_prep!$M$2:$N$3,2,FALSE),1))))</f>
        <v>0</v>
      </c>
      <c r="DK2" s="1">
        <f>IF(OR($B2="Tidak",$B2=""),0,IF($J2&lt;&gt;"Ya",0,IF(Q2="",0,IFERROR(VLOOKUP(Q2,admin_prep!$M$2:$N$3,2,FALSE),1))))</f>
        <v>0</v>
      </c>
      <c r="DL2" s="1">
        <f>IF(OR($B2="Tidak",$B2=""),0,IF($J2&lt;&gt;"Ya",0,IF(R2="",0,IFERROR(VLOOKUP(R2,admin_prep!$M$2:$N$3,2,FALSE),1))))</f>
        <v>0</v>
      </c>
      <c r="DM2" s="1">
        <f>IF(OR($B2="Tidak",$B2=""),0,IF($J2&lt;&gt;"Ya",0,IF(S2="",0,IFERROR(VLOOKUP(S2,admin_prep!$M$2:$N$3,2,FALSE),1))))</f>
        <v>0</v>
      </c>
      <c r="DN2" s="1">
        <f>IF(OR($B2="Tidak",$B2=""),0,IF($J2&lt;&gt;"Ya",0,IF(T2="",0,IFERROR(VLOOKUP(T2,admin_prep!$M$2:$N$3,2,FALSE),1))))</f>
        <v>0</v>
      </c>
      <c r="DO2" s="1">
        <f>IF(OR($B2="Tidak",$B2=""),0,IF($J2&lt;&gt;"Ya",0,IF(U2="",0,IFERROR(VLOOKUP(U2,admin_prep!$M$2:$N$3,2,FALSE),1))))</f>
        <v>0</v>
      </c>
      <c r="DP2" s="1"/>
      <c r="DQ2" s="1">
        <f>IF(OR($B2="Tidak",$B2=""),0,IF(W2="",0,IFERROR(VLOOKUP(MONTH(W2),admin_prep!$A$2:$C$13,3,FALSE),1)))</f>
        <v>0</v>
      </c>
      <c r="DR2" s="1">
        <f>IF(OR($B2="Tidak",$B2=""),0,IF(X2="",0,IFERROR(VLOOKUP(MONTH(X2),admin_prep!$A$2:$C$13,3,FALSE),1)))</f>
        <v>0</v>
      </c>
      <c r="DS2" s="1">
        <f>IF(OR($B2="Tidak",$B2=""),0,IF(Y2="",0,IFERROR(VLOOKUP(Y2,admin_prep!$AD$2:$AR$4,15,FALSE),1)))</f>
        <v>0</v>
      </c>
      <c r="DT2" s="1"/>
      <c r="DU2" s="1">
        <f>IF(OR($B2="Tidak",$B2=""),0,IF(AA2="",0,IFERROR(VLOOKUP(MONTH(AA2),admin_prep!$A$2:$C$13,3,FALSE),1)))</f>
        <v>0</v>
      </c>
      <c r="DV2" s="1">
        <f>IF(OR($B2="Tidak",$B2=""),0,IF(AB2="",0,IFERROR(VLOOKUP(MONTH(AB2),admin_prep!$A$2:$C$13,3,FALSE),1)))</f>
        <v>0</v>
      </c>
      <c r="DW2" s="1">
        <f>IF(OR($B2="Tidak",$B2=""),0,IF(AC2="",0,IFERROR(VLOOKUP(AC2,admin_prep!$AN$2:$AR$3,5,FALSE),1)))</f>
        <v>0</v>
      </c>
      <c r="DX2" s="1">
        <f>IF(OR($B2="Tidak",$B2=""),0,IF(AD2="",0,IFERROR(VLOOKUP(AD2,admin_prep!$M$2:$N$3,2,FALSE),1)))</f>
        <v>0</v>
      </c>
      <c r="DY2" s="1">
        <f>IF(OR($B2="Tidak",$B2=""),0,IF(AE2="",0,IFERROR(VLOOKUP(AE2,admin_prep!$M$2:$N$3,2,FALSE),1)))</f>
        <v>0</v>
      </c>
      <c r="DZ2" s="1"/>
      <c r="EA2" s="1"/>
      <c r="EB2" s="1"/>
      <c r="EC2" s="1">
        <f>IF(OR($B2="Tidak",$B2=""),0,IF(AI2="",0,IFERROR(VLOOKUP(AI2,admin_prep!$AP$2:$AR$3,3,FALSE),1)))</f>
        <v>0</v>
      </c>
      <c r="ED2" s="1"/>
      <c r="EE2" s="1"/>
      <c r="EF2" s="1"/>
      <c r="EG2" s="1"/>
      <c r="EH2" s="1">
        <f>IF(OR($B2="Tidak",$B2=""),0,IF(AN2="",0,IF(AND(AN2&lt;90,AN2&gt;=0),0,1)))</f>
        <v>0</v>
      </c>
      <c r="EI2" s="1">
        <f>IF(OR($B2="Tidak",$B2=""),0,IF(AO2="",0,IF(AND(AO2&lt;25,AO2&gt;=0),0,1)))</f>
        <v>0</v>
      </c>
      <c r="EJ2" s="1"/>
      <c r="EK2" s="1"/>
      <c r="EL2" s="1">
        <f>IF(OR($B2="Tidak",$B2=""),0,IF(AR2="",0,IFERROR(VLOOKUP(AR2,admin_prep!$M$2:$N$3,2,FALSE),1)))</f>
        <v>0</v>
      </c>
      <c r="EM2" s="1">
        <f>IF(OR($B2="Tidak",$B2=""),0,IF(AS2="",0,IFERROR(VLOOKUP(AS2,admin_prep!$AQ$2:$AR$3,2,FALSE),1)))</f>
        <v>0</v>
      </c>
      <c r="EN2" s="1">
        <f>IF(OR($B2="Tidak",$B2=""),0,IF(AT2="",0,IFERROR(VLOOKUP(AT2,admin_prep!$AM$2:$AR$3,6,FALSE),1)))</f>
        <v>0</v>
      </c>
      <c r="EO2" s="1"/>
      <c r="EP2" s="1">
        <f>IF(OR($B2="Tidak",$B2=""),0,IF(AV2="",0,IFERROR(VLOOKUP(AV2,admin_prep!$AF$2:$AR$8,12,FALSE),1)))</f>
        <v>0</v>
      </c>
      <c r="EQ2" s="1"/>
      <c r="ER2" s="1">
        <f>IF(OR($B2="Tidak",$B2=""),0,IF(AX2="",0,IFERROR(VLOOKUP(AX2,admin_prep!$M$2:$N$3,2,FALSE),1)))</f>
        <v>0</v>
      </c>
      <c r="ES2" s="1">
        <f>IF(OR($B2="Tidak",$B2=""),0,IF(AY2="",0,IFERROR(VLOOKUP(AY2,admin_prep!$M$2:$N$3,2,FALSE),1)))</f>
        <v>0</v>
      </c>
      <c r="ET2" s="1">
        <f>IF(OR($B2="Tidak",$B2=""),0,IF(AZ2="",0,IFERROR(VLOOKUP(AZ2,admin_prep!$M$2:$N$3,2,FALSE),1)))</f>
        <v>0</v>
      </c>
      <c r="EU2" s="1">
        <f>IF(OR($B2="Tidak",$B2=""),0,IF(BA2="",0,IFERROR(VLOOKUP(MONTH(BA2),admin_prep!$A$2:$C$13,3,FALSE),1)))</f>
        <v>0</v>
      </c>
      <c r="EV2" s="1">
        <f>IF(OR($B2="Tidak",$B2=""),0,IF(BB2="",0,IFERROR(VLOOKUP(MONTH(BB2),admin_prep!$A$2:$C$13,3,FALSE),1)))</f>
        <v>0</v>
      </c>
      <c r="EW2" s="1">
        <f>IF(OR($B2="Tidak",$B2=""),0,IF(BC2="",0,IFERROR(VLOOKUP(MONTH(BC2),admin_prep!$A$2:$C$13,3,FALSE),1)))</f>
        <v>0</v>
      </c>
      <c r="EX2" s="1">
        <f>IF(OR($B2="Tidak",$B2=""),0,IF(BD2="",0,IF(AND(BD2&lt;100,BD2&gt;=0),0,1)))</f>
        <v>0</v>
      </c>
      <c r="EY2" s="1">
        <f>IF(OR($B2="Tidak",$B2=""),0,IF(BE2="",0,IF(AND(BE2&lt;250,BE2&gt;0),0,1)))</f>
        <v>0</v>
      </c>
      <c r="EZ2" s="1">
        <f>IF(OR($B2="Tidak",$B2=""),0,IF(BF2="",0,IF(AND(BF2&lt;250,BF2&gt;0),0,1)))</f>
        <v>0</v>
      </c>
      <c r="FA2" s="1"/>
      <c r="FB2" s="37"/>
    </row>
    <row r="3" spans="1:158" ht="86.4" x14ac:dyDescent="0.3">
      <c r="A3" s="30" t="s">
        <v>0</v>
      </c>
      <c r="B3" s="30" t="s">
        <v>1</v>
      </c>
      <c r="C3" s="32" t="s">
        <v>6</v>
      </c>
      <c r="D3" s="29" t="s">
        <v>309</v>
      </c>
      <c r="E3" s="30" t="s">
        <v>2</v>
      </c>
      <c r="F3" s="30" t="s">
        <v>8</v>
      </c>
      <c r="G3" s="30" t="s">
        <v>20</v>
      </c>
      <c r="H3" s="30" t="s">
        <v>176</v>
      </c>
      <c r="I3" s="30" t="s">
        <v>42</v>
      </c>
      <c r="J3" s="11" t="s">
        <v>310</v>
      </c>
      <c r="K3" s="11" t="s">
        <v>178</v>
      </c>
      <c r="L3" s="11" t="s">
        <v>307</v>
      </c>
      <c r="M3" s="11" t="s">
        <v>344</v>
      </c>
      <c r="N3" s="11" t="s">
        <v>181</v>
      </c>
      <c r="O3" s="11" t="s">
        <v>182</v>
      </c>
      <c r="P3" s="11" t="s">
        <v>183</v>
      </c>
      <c r="Q3" s="11" t="s">
        <v>184</v>
      </c>
      <c r="R3" s="11" t="s">
        <v>185</v>
      </c>
      <c r="S3" s="11" t="s">
        <v>186</v>
      </c>
      <c r="T3" s="11" t="s">
        <v>187</v>
      </c>
      <c r="U3" s="11" t="s">
        <v>188</v>
      </c>
      <c r="V3" s="11" t="s">
        <v>189</v>
      </c>
      <c r="W3" s="11" t="s">
        <v>190</v>
      </c>
      <c r="X3" s="11" t="s">
        <v>191</v>
      </c>
      <c r="Y3" s="11" t="s">
        <v>192</v>
      </c>
      <c r="Z3" s="11" t="s">
        <v>193</v>
      </c>
      <c r="AA3" s="11" t="s">
        <v>194</v>
      </c>
      <c r="AB3" s="11" t="s">
        <v>195</v>
      </c>
      <c r="AC3" s="11" t="s">
        <v>196</v>
      </c>
      <c r="AD3" s="11" t="s">
        <v>69</v>
      </c>
      <c r="AE3" s="11" t="s">
        <v>197</v>
      </c>
      <c r="AF3" s="11" t="s">
        <v>198</v>
      </c>
      <c r="AG3" s="11" t="s">
        <v>199</v>
      </c>
      <c r="AH3" s="11" t="s">
        <v>200</v>
      </c>
      <c r="AI3" s="11" t="s">
        <v>201</v>
      </c>
      <c r="AJ3" s="11" t="s">
        <v>202</v>
      </c>
      <c r="AK3" s="11" t="s">
        <v>203</v>
      </c>
      <c r="AL3" s="11" t="s">
        <v>204</v>
      </c>
      <c r="AM3" s="11" t="s">
        <v>205</v>
      </c>
      <c r="AN3" s="11" t="s">
        <v>206</v>
      </c>
      <c r="AO3" s="11" t="s">
        <v>207</v>
      </c>
      <c r="AP3" s="11" t="s">
        <v>208</v>
      </c>
      <c r="AQ3" s="11" t="s">
        <v>209</v>
      </c>
      <c r="AR3" s="11" t="s">
        <v>210</v>
      </c>
      <c r="AS3" s="11" t="s">
        <v>211</v>
      </c>
      <c r="AT3" s="11" t="s">
        <v>212</v>
      </c>
      <c r="AU3" s="11" t="s">
        <v>66</v>
      </c>
      <c r="AV3" s="11" t="s">
        <v>213</v>
      </c>
      <c r="AW3" s="11" t="s">
        <v>214</v>
      </c>
      <c r="AX3" s="11" t="s">
        <v>215</v>
      </c>
      <c r="AY3" s="11" t="s">
        <v>216</v>
      </c>
      <c r="AZ3" s="11" t="s">
        <v>217</v>
      </c>
      <c r="BA3" s="11" t="s">
        <v>218</v>
      </c>
      <c r="BB3" s="11" t="s">
        <v>219</v>
      </c>
      <c r="BC3" s="11" t="s">
        <v>220</v>
      </c>
      <c r="BD3" s="11" t="s">
        <v>221</v>
      </c>
      <c r="BE3" s="11" t="s">
        <v>222</v>
      </c>
      <c r="BF3" s="11" t="s">
        <v>223</v>
      </c>
      <c r="BG3" s="11" t="s">
        <v>224</v>
      </c>
      <c r="BH3" s="31" t="s">
        <v>225</v>
      </c>
      <c r="BI3" s="31" t="s">
        <v>226</v>
      </c>
      <c r="BJ3" s="31" t="s">
        <v>227</v>
      </c>
      <c r="BK3" s="31" t="s">
        <v>228</v>
      </c>
      <c r="BL3" s="31" t="s">
        <v>229</v>
      </c>
      <c r="BM3" s="31" t="s">
        <v>230</v>
      </c>
      <c r="BN3" s="31" t="s">
        <v>231</v>
      </c>
      <c r="BO3" s="31" t="s">
        <v>232</v>
      </c>
      <c r="BP3" s="33" t="s">
        <v>21</v>
      </c>
      <c r="BQ3" s="33" t="s">
        <v>80</v>
      </c>
      <c r="BR3" s="33" t="s">
        <v>233</v>
      </c>
      <c r="BS3" s="31" t="s">
        <v>238</v>
      </c>
      <c r="BT3" s="31" t="s">
        <v>21</v>
      </c>
      <c r="BU3" s="31" t="s">
        <v>239</v>
      </c>
      <c r="BX3" s="37"/>
      <c r="BY3" s="37"/>
      <c r="BZ3" s="37"/>
      <c r="CA3" s="37"/>
      <c r="CB3" s="37"/>
      <c r="CC3" s="37"/>
      <c r="CD3" s="37"/>
      <c r="CE3" s="37"/>
      <c r="CF3" s="37"/>
      <c r="CG3" s="37"/>
      <c r="CH3" s="37"/>
      <c r="CI3" s="37"/>
      <c r="CJ3" s="37"/>
      <c r="CK3" s="37"/>
      <c r="CL3" s="37"/>
      <c r="CM3" s="37"/>
      <c r="CN3" s="37"/>
      <c r="CO3" s="37"/>
      <c r="CP3" s="37"/>
      <c r="CQ3" s="37"/>
      <c r="CR3" s="37"/>
      <c r="CS3" s="37"/>
      <c r="CT3" s="37"/>
      <c r="CU3" s="37"/>
      <c r="CV3" s="37"/>
      <c r="CW3" s="37"/>
      <c r="CX3" s="1"/>
      <c r="CY3" s="1" t="s">
        <v>2</v>
      </c>
      <c r="CZ3" s="1" t="s">
        <v>8</v>
      </c>
      <c r="DA3" s="1" t="s">
        <v>20</v>
      </c>
      <c r="DB3" s="1" t="s">
        <v>176</v>
      </c>
      <c r="DC3" s="1" t="s">
        <v>42</v>
      </c>
      <c r="DD3" s="1" t="s">
        <v>310</v>
      </c>
      <c r="DE3" s="1" t="s">
        <v>178</v>
      </c>
      <c r="DF3" s="1" t="s">
        <v>179</v>
      </c>
      <c r="DG3" s="1" t="s">
        <v>180</v>
      </c>
      <c r="DH3" s="1" t="s">
        <v>181</v>
      </c>
      <c r="DI3" s="1" t="s">
        <v>182</v>
      </c>
      <c r="DJ3" s="1" t="s">
        <v>183</v>
      </c>
      <c r="DK3" s="1" t="s">
        <v>184</v>
      </c>
      <c r="DL3" s="1" t="s">
        <v>185</v>
      </c>
      <c r="DM3" s="1" t="s">
        <v>186</v>
      </c>
      <c r="DN3" s="1" t="s">
        <v>187</v>
      </c>
      <c r="DO3" s="1" t="s">
        <v>188</v>
      </c>
      <c r="DP3" s="1" t="s">
        <v>189</v>
      </c>
      <c r="DQ3" s="1" t="s">
        <v>190</v>
      </c>
      <c r="DR3" s="1" t="s">
        <v>191</v>
      </c>
      <c r="DS3" s="1" t="s">
        <v>192</v>
      </c>
      <c r="DT3" s="1" t="s">
        <v>193</v>
      </c>
      <c r="DU3" s="1" t="s">
        <v>194</v>
      </c>
      <c r="DV3" s="1" t="s">
        <v>195</v>
      </c>
      <c r="DW3" s="1" t="s">
        <v>196</v>
      </c>
      <c r="DX3" s="1" t="s">
        <v>69</v>
      </c>
      <c r="DY3" s="1" t="s">
        <v>197</v>
      </c>
      <c r="DZ3" s="1" t="s">
        <v>198</v>
      </c>
      <c r="EA3" s="1" t="s">
        <v>199</v>
      </c>
      <c r="EB3" s="1" t="s">
        <v>200</v>
      </c>
      <c r="EC3" s="1" t="s">
        <v>201</v>
      </c>
      <c r="ED3" s="1" t="s">
        <v>202</v>
      </c>
      <c r="EE3" s="1" t="s">
        <v>203</v>
      </c>
      <c r="EF3" s="1" t="s">
        <v>204</v>
      </c>
      <c r="EG3" s="1" t="s">
        <v>205</v>
      </c>
      <c r="EH3" s="1" t="s">
        <v>206</v>
      </c>
      <c r="EI3" s="1" t="s">
        <v>207</v>
      </c>
      <c r="EJ3" s="1" t="s">
        <v>208</v>
      </c>
      <c r="EK3" s="1" t="s">
        <v>209</v>
      </c>
      <c r="EL3" s="1" t="s">
        <v>210</v>
      </c>
      <c r="EM3" s="1" t="s">
        <v>211</v>
      </c>
      <c r="EN3" s="1" t="s">
        <v>212</v>
      </c>
      <c r="EO3" s="1" t="s">
        <v>66</v>
      </c>
      <c r="EP3" s="1" t="s">
        <v>213</v>
      </c>
      <c r="EQ3" s="1" t="s">
        <v>214</v>
      </c>
      <c r="ER3" s="1" t="s">
        <v>215</v>
      </c>
      <c r="ES3" s="1" t="s">
        <v>216</v>
      </c>
      <c r="ET3" s="1" t="s">
        <v>217</v>
      </c>
      <c r="EU3" s="1" t="s">
        <v>218</v>
      </c>
      <c r="EV3" s="1" t="s">
        <v>219</v>
      </c>
      <c r="EW3" s="1" t="s">
        <v>220</v>
      </c>
      <c r="EX3" s="1" t="s">
        <v>221</v>
      </c>
      <c r="EY3" s="1" t="s">
        <v>332</v>
      </c>
      <c r="EZ3" s="1" t="s">
        <v>333</v>
      </c>
      <c r="FA3" s="1" t="s">
        <v>224</v>
      </c>
      <c r="FB3" s="37"/>
    </row>
    <row r="4" spans="1:158" x14ac:dyDescent="0.3">
      <c r="A4" s="34">
        <v>1</v>
      </c>
      <c r="B4" s="38" t="s">
        <v>335</v>
      </c>
      <c r="C4" s="2"/>
      <c r="D4" s="16"/>
      <c r="E4" s="7"/>
      <c r="F4" s="4"/>
      <c r="G4" s="8"/>
      <c r="H4" s="4"/>
      <c r="I4" s="7"/>
      <c r="J4" s="4"/>
      <c r="K4" s="4"/>
      <c r="L4" s="4"/>
      <c r="M4" s="4"/>
      <c r="N4" s="4"/>
      <c r="O4" s="4"/>
      <c r="P4" s="4"/>
      <c r="Q4" s="4"/>
      <c r="R4" s="4"/>
      <c r="S4" s="4"/>
      <c r="T4" s="4"/>
      <c r="U4" s="4"/>
      <c r="V4" s="9"/>
      <c r="W4" s="8"/>
      <c r="X4" s="8"/>
      <c r="Y4" s="9"/>
      <c r="Z4" s="9"/>
      <c r="AA4" s="8"/>
      <c r="AB4" s="8"/>
      <c r="AC4" s="9"/>
      <c r="AD4" s="4"/>
      <c r="AE4" s="4"/>
      <c r="AF4" s="9"/>
      <c r="AG4" s="9"/>
      <c r="AH4" s="9"/>
      <c r="AI4" s="9"/>
      <c r="AJ4" s="9"/>
      <c r="AK4" s="9"/>
      <c r="AL4" s="9"/>
      <c r="AM4" s="9"/>
      <c r="AN4" s="9"/>
      <c r="AO4" s="9"/>
      <c r="AP4" s="9"/>
      <c r="AQ4" s="9"/>
      <c r="AR4" s="4"/>
      <c r="AS4" s="4"/>
      <c r="AT4" s="4"/>
      <c r="AU4" s="9"/>
      <c r="AV4" s="9"/>
      <c r="AW4" s="9"/>
      <c r="AX4" s="4"/>
      <c r="AY4" s="4"/>
      <c r="AZ4" s="4"/>
      <c r="BA4" s="8"/>
      <c r="BB4" s="8"/>
      <c r="BC4" s="8"/>
      <c r="BD4" s="13"/>
      <c r="BE4" s="9"/>
      <c r="BF4" s="9"/>
      <c r="BG4" s="9"/>
      <c r="BH4" s="2"/>
      <c r="BI4" s="2"/>
      <c r="BJ4" s="2"/>
      <c r="BK4" s="2"/>
      <c r="BL4" s="2"/>
      <c r="BM4" s="2"/>
      <c r="BN4" s="2"/>
      <c r="BO4" s="2"/>
      <c r="BP4" s="2"/>
      <c r="BQ4" s="2"/>
      <c r="BR4" s="2"/>
      <c r="BS4" s="2"/>
      <c r="BT4" s="17"/>
      <c r="BU4" s="2"/>
      <c r="BX4" s="37"/>
      <c r="BY4" s="37"/>
      <c r="BZ4" s="37"/>
      <c r="CA4" s="37"/>
      <c r="CB4" s="37"/>
      <c r="CC4" s="37"/>
      <c r="CD4" s="37"/>
      <c r="CE4" s="37"/>
      <c r="CF4" s="37"/>
      <c r="CI4" s="37"/>
      <c r="CJ4" s="37"/>
      <c r="CK4" s="37"/>
      <c r="CL4" s="37"/>
      <c r="CM4" s="37"/>
      <c r="CN4" s="37"/>
      <c r="CO4" s="37"/>
      <c r="CP4" s="37"/>
      <c r="CQ4" s="37"/>
      <c r="CR4" s="37"/>
      <c r="CS4" s="37"/>
      <c r="CT4" s="37"/>
      <c r="CU4" s="37"/>
      <c r="CV4" s="37"/>
      <c r="CW4" s="37"/>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37"/>
    </row>
    <row r="5" spans="1:158" x14ac:dyDescent="0.3">
      <c r="A5" s="34">
        <v>2</v>
      </c>
      <c r="B5" s="38"/>
      <c r="C5" s="2"/>
      <c r="D5" s="16"/>
      <c r="E5" s="7"/>
      <c r="F5" s="4"/>
      <c r="G5" s="8"/>
      <c r="H5" s="4"/>
      <c r="I5" s="7"/>
      <c r="J5" s="4"/>
      <c r="K5" s="4"/>
      <c r="L5" s="4"/>
      <c r="M5" s="4"/>
      <c r="N5" s="4"/>
      <c r="O5" s="4"/>
      <c r="P5" s="4"/>
      <c r="Q5" s="4"/>
      <c r="R5" s="4"/>
      <c r="S5" s="4"/>
      <c r="T5" s="4"/>
      <c r="U5" s="4"/>
      <c r="V5" s="9"/>
      <c r="W5" s="8"/>
      <c r="X5" s="8"/>
      <c r="Y5" s="9"/>
      <c r="Z5" s="9"/>
      <c r="AA5" s="8"/>
      <c r="AB5" s="8"/>
      <c r="AC5" s="9"/>
      <c r="AD5" s="4"/>
      <c r="AE5" s="4"/>
      <c r="AF5" s="9"/>
      <c r="AG5" s="9"/>
      <c r="AH5" s="9"/>
      <c r="AI5" s="9"/>
      <c r="AJ5" s="9"/>
      <c r="AK5" s="9"/>
      <c r="AL5" s="9"/>
      <c r="AM5" s="9"/>
      <c r="AN5" s="9"/>
      <c r="AO5" s="9"/>
      <c r="AP5" s="9"/>
      <c r="AQ5" s="9"/>
      <c r="AR5" s="4"/>
      <c r="AS5" s="4"/>
      <c r="AT5" s="4"/>
      <c r="AU5" s="9"/>
      <c r="AV5" s="9"/>
      <c r="AW5" s="9"/>
      <c r="AX5" s="4"/>
      <c r="AY5" s="4"/>
      <c r="AZ5" s="4"/>
      <c r="BA5" s="8"/>
      <c r="BB5" s="8"/>
      <c r="BC5" s="8"/>
      <c r="BD5" s="13"/>
      <c r="BE5" s="9"/>
      <c r="BF5" s="9"/>
      <c r="BG5" s="9"/>
      <c r="BH5" s="2"/>
      <c r="BI5" s="2"/>
      <c r="BJ5" s="2"/>
      <c r="BK5" s="2"/>
      <c r="BL5" s="2"/>
      <c r="BM5" s="2"/>
      <c r="BN5" s="2"/>
      <c r="BO5" s="2"/>
      <c r="BP5" s="2"/>
      <c r="BQ5" s="2"/>
      <c r="BR5" s="2"/>
      <c r="BS5" s="2"/>
      <c r="BT5" s="2"/>
      <c r="BU5" s="2"/>
      <c r="BX5" s="37"/>
      <c r="BY5" s="37"/>
      <c r="BZ5" s="37"/>
      <c r="CA5" s="37"/>
      <c r="CB5" s="37"/>
      <c r="CC5" s="37"/>
      <c r="CD5" s="37"/>
      <c r="CE5" s="37"/>
      <c r="CF5" s="37"/>
      <c r="CI5" s="37"/>
      <c r="CJ5" s="37"/>
      <c r="CK5" s="37"/>
      <c r="CL5" s="37"/>
      <c r="CM5" s="37"/>
      <c r="CN5" s="37"/>
      <c r="CO5" s="37"/>
      <c r="CP5" s="37"/>
      <c r="CQ5" s="37"/>
      <c r="CR5" s="37"/>
      <c r="CS5" s="37"/>
      <c r="CT5" s="37"/>
      <c r="CU5" s="37"/>
      <c r="CV5" s="37"/>
      <c r="CW5" s="37"/>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37"/>
    </row>
    <row r="6" spans="1:158" x14ac:dyDescent="0.3">
      <c r="A6" s="34">
        <v>3</v>
      </c>
      <c r="B6" s="38"/>
      <c r="C6" s="2"/>
      <c r="D6" s="16"/>
      <c r="E6" s="7"/>
      <c r="F6" s="4"/>
      <c r="G6" s="8"/>
      <c r="H6" s="4"/>
      <c r="I6" s="7"/>
      <c r="J6" s="4"/>
      <c r="K6" s="4"/>
      <c r="L6" s="4"/>
      <c r="M6" s="4"/>
      <c r="N6" s="4"/>
      <c r="O6" s="4"/>
      <c r="P6" s="4"/>
      <c r="Q6" s="4"/>
      <c r="R6" s="4"/>
      <c r="S6" s="4"/>
      <c r="T6" s="4"/>
      <c r="U6" s="4"/>
      <c r="V6" s="9"/>
      <c r="W6" s="8"/>
      <c r="X6" s="8"/>
      <c r="Y6" s="9"/>
      <c r="Z6" s="9"/>
      <c r="AA6" s="8"/>
      <c r="AB6" s="8"/>
      <c r="AC6" s="9"/>
      <c r="AD6" s="4"/>
      <c r="AE6" s="4"/>
      <c r="AF6" s="9"/>
      <c r="AG6" s="9"/>
      <c r="AH6" s="9"/>
      <c r="AI6" s="9"/>
      <c r="AJ6" s="9"/>
      <c r="AK6" s="9"/>
      <c r="AL6" s="9"/>
      <c r="AM6" s="9"/>
      <c r="AN6" s="9"/>
      <c r="AO6" s="9"/>
      <c r="AP6" s="9"/>
      <c r="AQ6" s="9"/>
      <c r="AR6" s="4"/>
      <c r="AS6" s="4"/>
      <c r="AT6" s="4"/>
      <c r="AU6" s="9"/>
      <c r="AV6" s="9"/>
      <c r="AW6" s="9"/>
      <c r="AX6" s="4"/>
      <c r="AY6" s="4"/>
      <c r="AZ6" s="4"/>
      <c r="BA6" s="8"/>
      <c r="BB6" s="8"/>
      <c r="BC6" s="8"/>
      <c r="BD6" s="13"/>
      <c r="BE6" s="9"/>
      <c r="BF6" s="9"/>
      <c r="BG6" s="9"/>
      <c r="BH6" s="2"/>
      <c r="BI6" s="2"/>
      <c r="BJ6" s="2"/>
      <c r="BK6" s="2"/>
      <c r="BL6" s="2"/>
      <c r="BM6" s="2"/>
      <c r="BN6" s="2"/>
      <c r="BO6" s="2"/>
      <c r="BP6" s="2"/>
      <c r="BQ6" s="2"/>
      <c r="BR6" s="2"/>
      <c r="BS6" s="2"/>
      <c r="BT6" s="2"/>
      <c r="BU6" s="2"/>
      <c r="BX6" s="37"/>
      <c r="BY6" s="37"/>
      <c r="BZ6" s="37"/>
      <c r="CA6" s="37"/>
      <c r="CB6" s="37"/>
      <c r="CC6" s="37"/>
      <c r="CD6" s="37"/>
      <c r="CE6" s="37"/>
      <c r="CF6" s="37"/>
      <c r="CI6" s="37"/>
      <c r="CJ6" s="37"/>
      <c r="CK6" s="37"/>
      <c r="CL6" s="37"/>
      <c r="CM6" s="37"/>
      <c r="CN6" s="37"/>
      <c r="CO6" s="37"/>
      <c r="CP6" s="37"/>
      <c r="CQ6" s="37"/>
      <c r="CR6" s="37"/>
      <c r="CS6" s="37"/>
      <c r="CT6" s="37"/>
      <c r="CU6" s="37"/>
      <c r="CV6" s="37"/>
      <c r="CW6" s="37"/>
      <c r="CX6" s="37"/>
      <c r="CY6" s="37"/>
      <c r="CZ6" s="37"/>
      <c r="FA6" s="37"/>
      <c r="FB6" s="37"/>
    </row>
    <row r="7" spans="1:158" x14ac:dyDescent="0.3">
      <c r="A7" s="34">
        <v>4</v>
      </c>
      <c r="B7" s="38"/>
      <c r="C7" s="2"/>
      <c r="D7" s="16"/>
      <c r="E7" s="7"/>
      <c r="F7" s="4"/>
      <c r="G7" s="8"/>
      <c r="H7" s="4"/>
      <c r="I7" s="4"/>
      <c r="J7" s="4"/>
      <c r="K7" s="4"/>
      <c r="L7" s="4"/>
      <c r="M7" s="4"/>
      <c r="N7" s="4"/>
      <c r="O7" s="4"/>
      <c r="P7" s="4"/>
      <c r="Q7" s="4"/>
      <c r="R7" s="4"/>
      <c r="S7" s="4"/>
      <c r="T7" s="4"/>
      <c r="U7" s="4"/>
      <c r="V7" s="9"/>
      <c r="W7" s="8"/>
      <c r="X7" s="8"/>
      <c r="Y7" s="9"/>
      <c r="Z7" s="9"/>
      <c r="AA7" s="8"/>
      <c r="AB7" s="8"/>
      <c r="AC7" s="9"/>
      <c r="AD7" s="4"/>
      <c r="AE7" s="4"/>
      <c r="AF7" s="9"/>
      <c r="AG7" s="9"/>
      <c r="AH7" s="9"/>
      <c r="AI7" s="9"/>
      <c r="AJ7" s="9"/>
      <c r="AK7" s="9"/>
      <c r="AL7" s="9"/>
      <c r="AM7" s="9"/>
      <c r="AN7" s="9"/>
      <c r="AO7" s="9"/>
      <c r="AP7" s="9"/>
      <c r="AQ7" s="9"/>
      <c r="AR7" s="4"/>
      <c r="AS7" s="4"/>
      <c r="AT7" s="4"/>
      <c r="AU7" s="9"/>
      <c r="AV7" s="9"/>
      <c r="AW7" s="9"/>
      <c r="AX7" s="4"/>
      <c r="AY7" s="4"/>
      <c r="AZ7" s="4"/>
      <c r="BA7" s="8"/>
      <c r="BB7" s="8"/>
      <c r="BC7" s="8"/>
      <c r="BD7" s="13"/>
      <c r="BE7" s="9"/>
      <c r="BF7" s="9"/>
      <c r="BG7" s="9"/>
      <c r="BH7" s="2"/>
      <c r="BI7" s="2"/>
      <c r="BJ7" s="2"/>
      <c r="BK7" s="2"/>
      <c r="BL7" s="2"/>
      <c r="BM7" s="2"/>
      <c r="BN7" s="2"/>
      <c r="BO7" s="2"/>
      <c r="BP7" s="2"/>
      <c r="BQ7" s="2"/>
      <c r="BR7" s="2"/>
      <c r="BS7" s="2"/>
      <c r="BT7" s="2"/>
      <c r="BU7" s="2"/>
      <c r="BX7" s="37"/>
      <c r="BY7" s="37"/>
      <c r="BZ7" s="37"/>
      <c r="CA7" s="37"/>
      <c r="CB7" s="37"/>
      <c r="CC7" s="37"/>
      <c r="CD7" s="37"/>
      <c r="CE7" s="37"/>
      <c r="CF7" s="37"/>
      <c r="CI7" s="37"/>
      <c r="CJ7" s="37"/>
      <c r="CK7" s="37"/>
      <c r="CL7" s="37"/>
      <c r="CM7" s="37"/>
      <c r="CN7" s="37"/>
      <c r="CO7" s="37"/>
      <c r="CP7" s="37"/>
      <c r="CQ7" s="37"/>
      <c r="CR7" s="37"/>
      <c r="CS7" s="37"/>
      <c r="CT7" s="37"/>
      <c r="CU7" s="37"/>
      <c r="CV7" s="37"/>
      <c r="CW7" s="37"/>
      <c r="CX7" s="37"/>
      <c r="CY7" s="37"/>
      <c r="CZ7" s="37"/>
      <c r="FA7" s="37"/>
      <c r="FB7" s="37"/>
    </row>
    <row r="8" spans="1:158" x14ac:dyDescent="0.3">
      <c r="A8" s="34">
        <v>5</v>
      </c>
      <c r="B8" s="38"/>
      <c r="C8" s="2"/>
      <c r="D8" s="16"/>
      <c r="E8" s="7"/>
      <c r="F8" s="4"/>
      <c r="G8" s="8"/>
      <c r="H8" s="4"/>
      <c r="I8" s="4"/>
      <c r="J8" s="4"/>
      <c r="K8" s="4"/>
      <c r="L8" s="4"/>
      <c r="M8" s="4"/>
      <c r="N8" s="4"/>
      <c r="O8" s="4"/>
      <c r="P8" s="4"/>
      <c r="Q8" s="4"/>
      <c r="R8" s="4"/>
      <c r="S8" s="4"/>
      <c r="T8" s="4"/>
      <c r="U8" s="4"/>
      <c r="V8" s="9"/>
      <c r="W8" s="8"/>
      <c r="X8" s="8"/>
      <c r="Y8" s="9"/>
      <c r="Z8" s="9"/>
      <c r="AA8" s="8"/>
      <c r="AB8" s="8"/>
      <c r="AC8" s="9"/>
      <c r="AD8" s="4"/>
      <c r="AE8" s="4"/>
      <c r="AF8" s="9"/>
      <c r="AG8" s="9"/>
      <c r="AH8" s="9"/>
      <c r="AI8" s="9"/>
      <c r="AJ8" s="9"/>
      <c r="AK8" s="9"/>
      <c r="AL8" s="9"/>
      <c r="AM8" s="9"/>
      <c r="AN8" s="9"/>
      <c r="AO8" s="9"/>
      <c r="AP8" s="9"/>
      <c r="AQ8" s="9"/>
      <c r="AR8" s="4"/>
      <c r="AS8" s="4"/>
      <c r="AT8" s="4"/>
      <c r="AU8" s="9"/>
      <c r="AV8" s="9"/>
      <c r="AW8" s="9"/>
      <c r="AX8" s="4"/>
      <c r="AY8" s="4"/>
      <c r="AZ8" s="4"/>
      <c r="BA8" s="8"/>
      <c r="BB8" s="8"/>
      <c r="BC8" s="8"/>
      <c r="BD8" s="13"/>
      <c r="BE8" s="9"/>
      <c r="BF8" s="9"/>
      <c r="BG8" s="9"/>
      <c r="BH8" s="2"/>
      <c r="BI8" s="2"/>
      <c r="BJ8" s="2"/>
      <c r="BK8" s="2"/>
      <c r="BL8" s="2"/>
      <c r="BM8" s="2"/>
      <c r="BN8" s="2"/>
      <c r="BO8" s="2"/>
      <c r="BP8" s="2"/>
      <c r="BQ8" s="2"/>
      <c r="BR8" s="2"/>
      <c r="BS8" s="2"/>
      <c r="BT8" s="2"/>
      <c r="BU8" s="2"/>
      <c r="BX8" s="37"/>
      <c r="BY8" s="37"/>
      <c r="BZ8" s="37"/>
      <c r="CA8" s="37"/>
      <c r="CB8" s="37"/>
      <c r="CC8" s="37"/>
      <c r="CD8" s="37"/>
      <c r="CE8" s="37"/>
      <c r="CF8" s="37"/>
      <c r="CI8" s="37"/>
      <c r="CJ8" s="37"/>
      <c r="CK8" s="37"/>
      <c r="CL8" s="37"/>
      <c r="CM8" s="37"/>
      <c r="CN8" s="37"/>
      <c r="CO8" s="37"/>
      <c r="CP8" s="37"/>
      <c r="CQ8" s="37"/>
      <c r="CR8" s="37"/>
      <c r="CS8" s="37"/>
      <c r="CT8" s="37"/>
      <c r="CU8" s="37"/>
      <c r="CV8" s="37"/>
      <c r="CW8" s="37"/>
      <c r="CX8" s="37"/>
      <c r="CY8" s="37"/>
      <c r="CZ8" s="37"/>
      <c r="FA8" s="37"/>
      <c r="FB8" s="37"/>
    </row>
    <row r="9" spans="1:158" x14ac:dyDescent="0.3">
      <c r="A9" s="34">
        <v>6</v>
      </c>
      <c r="B9" s="38"/>
      <c r="C9" s="2"/>
      <c r="D9" s="16"/>
      <c r="E9" s="7"/>
      <c r="F9" s="4"/>
      <c r="G9" s="8"/>
      <c r="H9" s="4"/>
      <c r="I9" s="9"/>
      <c r="J9" s="4"/>
      <c r="K9" s="4"/>
      <c r="L9" s="4"/>
      <c r="M9" s="4"/>
      <c r="N9" s="4"/>
      <c r="O9" s="4"/>
      <c r="P9" s="4"/>
      <c r="Q9" s="4"/>
      <c r="R9" s="4"/>
      <c r="S9" s="4"/>
      <c r="T9" s="4"/>
      <c r="U9" s="4"/>
      <c r="V9" s="9"/>
      <c r="W9" s="8"/>
      <c r="X9" s="8"/>
      <c r="Y9" s="9"/>
      <c r="Z9" s="9"/>
      <c r="AA9" s="8"/>
      <c r="AB9" s="8"/>
      <c r="AC9" s="9"/>
      <c r="AD9" s="4"/>
      <c r="AE9" s="4"/>
      <c r="AF9" s="9"/>
      <c r="AG9" s="9"/>
      <c r="AH9" s="9"/>
      <c r="AI9" s="9"/>
      <c r="AJ9" s="9"/>
      <c r="AK9" s="9"/>
      <c r="AL9" s="9"/>
      <c r="AM9" s="9"/>
      <c r="AN9" s="9"/>
      <c r="AO9" s="9"/>
      <c r="AP9" s="9"/>
      <c r="AQ9" s="9"/>
      <c r="AR9" s="4"/>
      <c r="AS9" s="4"/>
      <c r="AT9" s="4"/>
      <c r="AU9" s="9"/>
      <c r="AV9" s="9"/>
      <c r="AW9" s="9"/>
      <c r="AX9" s="4"/>
      <c r="AY9" s="4"/>
      <c r="AZ9" s="4"/>
      <c r="BA9" s="8"/>
      <c r="BB9" s="8"/>
      <c r="BC9" s="8"/>
      <c r="BD9" s="13"/>
      <c r="BE9" s="9"/>
      <c r="BF9" s="9"/>
      <c r="BG9" s="9"/>
      <c r="BH9" s="2"/>
      <c r="BI9" s="2"/>
      <c r="BJ9" s="2"/>
      <c r="BK9" s="2"/>
      <c r="BL9" s="2"/>
      <c r="BM9" s="2"/>
      <c r="BN9" s="2"/>
      <c r="BO9" s="2"/>
      <c r="BP9" s="2"/>
      <c r="BQ9" s="2"/>
      <c r="BR9" s="2"/>
      <c r="BS9" s="2"/>
      <c r="BT9" s="2"/>
      <c r="BU9" s="2"/>
      <c r="BX9" s="37"/>
      <c r="BY9" s="37"/>
      <c r="BZ9" s="37"/>
      <c r="CA9" s="37"/>
      <c r="CB9" s="37"/>
      <c r="CC9" s="37"/>
      <c r="CD9" s="37"/>
      <c r="CE9" s="37"/>
      <c r="CF9" s="37"/>
      <c r="CI9" s="37"/>
      <c r="CJ9" s="37"/>
      <c r="CK9" s="37"/>
      <c r="CL9" s="37"/>
      <c r="CM9" s="37"/>
      <c r="CN9" s="37"/>
      <c r="CO9" s="37"/>
      <c r="CP9" s="37"/>
      <c r="CQ9" s="37"/>
      <c r="CR9" s="37"/>
      <c r="CS9" s="37"/>
      <c r="CT9" s="37"/>
      <c r="CU9" s="37"/>
      <c r="CV9" s="37"/>
      <c r="CW9" s="37"/>
      <c r="CX9" s="37"/>
      <c r="CY9" s="37"/>
      <c r="CZ9" s="37"/>
      <c r="FA9" s="37"/>
      <c r="FB9" s="37"/>
    </row>
    <row r="10" spans="1:158" x14ac:dyDescent="0.3">
      <c r="A10" s="34">
        <v>7</v>
      </c>
      <c r="B10" s="38"/>
      <c r="C10" s="2"/>
      <c r="D10" s="16"/>
      <c r="E10" s="7"/>
      <c r="F10" s="4"/>
      <c r="G10" s="8"/>
      <c r="H10" s="4"/>
      <c r="I10" s="9"/>
      <c r="J10" s="4"/>
      <c r="K10" s="4"/>
      <c r="L10" s="4"/>
      <c r="M10" s="4"/>
      <c r="N10" s="4"/>
      <c r="O10" s="4"/>
      <c r="P10" s="4"/>
      <c r="Q10" s="4"/>
      <c r="R10" s="4"/>
      <c r="S10" s="4"/>
      <c r="T10" s="4"/>
      <c r="U10" s="4"/>
      <c r="V10" s="9"/>
      <c r="W10" s="8"/>
      <c r="X10" s="8"/>
      <c r="Y10" s="9"/>
      <c r="Z10" s="9"/>
      <c r="AA10" s="8"/>
      <c r="AB10" s="8"/>
      <c r="AC10" s="9"/>
      <c r="AD10" s="4"/>
      <c r="AE10" s="4"/>
      <c r="AF10" s="9"/>
      <c r="AG10" s="9"/>
      <c r="AH10" s="9"/>
      <c r="AI10" s="9"/>
      <c r="AJ10" s="9"/>
      <c r="AK10" s="9"/>
      <c r="AL10" s="9"/>
      <c r="AM10" s="9"/>
      <c r="AN10" s="9"/>
      <c r="AO10" s="9"/>
      <c r="AP10" s="9"/>
      <c r="AQ10" s="9"/>
      <c r="AR10" s="4"/>
      <c r="AS10" s="4"/>
      <c r="AT10" s="4"/>
      <c r="AU10" s="9"/>
      <c r="AV10" s="9"/>
      <c r="AW10" s="9"/>
      <c r="AX10" s="4"/>
      <c r="AY10" s="4"/>
      <c r="AZ10" s="4"/>
      <c r="BA10" s="8"/>
      <c r="BB10" s="8"/>
      <c r="BC10" s="8"/>
      <c r="BD10" s="13"/>
      <c r="BE10" s="9"/>
      <c r="BF10" s="9"/>
      <c r="BG10" s="9"/>
      <c r="BH10" s="2"/>
      <c r="BI10" s="2"/>
      <c r="BJ10" s="2"/>
      <c r="BK10" s="2"/>
      <c r="BL10" s="2"/>
      <c r="BM10" s="2"/>
      <c r="BN10" s="2"/>
      <c r="BO10" s="2"/>
      <c r="BP10" s="2"/>
      <c r="BQ10" s="2"/>
      <c r="BR10" s="2"/>
      <c r="BS10" s="2"/>
      <c r="BT10" s="2"/>
      <c r="BU10" s="2"/>
      <c r="BX10" s="37"/>
      <c r="BY10" s="37"/>
      <c r="BZ10" s="37"/>
      <c r="CA10" s="37"/>
      <c r="CB10" s="37"/>
      <c r="CC10" s="37"/>
      <c r="CD10" s="37"/>
      <c r="CE10" s="37"/>
      <c r="CF10" s="37"/>
      <c r="CI10" s="37"/>
      <c r="CJ10" s="37"/>
      <c r="CK10" s="37"/>
      <c r="CL10" s="37"/>
      <c r="CM10" s="37"/>
      <c r="CN10" s="37"/>
      <c r="CO10" s="37"/>
      <c r="CP10" s="37"/>
      <c r="CQ10" s="37"/>
      <c r="CR10" s="37"/>
      <c r="CS10" s="37"/>
      <c r="CT10" s="37"/>
      <c r="CU10" s="37"/>
      <c r="CV10" s="37"/>
      <c r="CW10" s="37"/>
      <c r="CX10" s="37"/>
      <c r="CY10" s="37"/>
      <c r="CZ10" s="37"/>
      <c r="FA10" s="37"/>
      <c r="FB10" s="37"/>
    </row>
    <row r="11" spans="1:158" x14ac:dyDescent="0.3">
      <c r="A11" s="34">
        <v>8</v>
      </c>
      <c r="B11" s="38"/>
      <c r="C11" s="2"/>
      <c r="D11" s="16"/>
      <c r="E11" s="7"/>
      <c r="F11" s="4"/>
      <c r="G11" s="8"/>
      <c r="H11" s="4"/>
      <c r="I11" s="9"/>
      <c r="J11" s="4"/>
      <c r="K11" s="4"/>
      <c r="L11" s="4"/>
      <c r="M11" s="4"/>
      <c r="N11" s="4"/>
      <c r="O11" s="4"/>
      <c r="P11" s="4"/>
      <c r="Q11" s="4"/>
      <c r="R11" s="4"/>
      <c r="S11" s="4"/>
      <c r="T11" s="4"/>
      <c r="U11" s="4"/>
      <c r="V11" s="9"/>
      <c r="W11" s="8"/>
      <c r="X11" s="8"/>
      <c r="Y11" s="9"/>
      <c r="Z11" s="9"/>
      <c r="AA11" s="8"/>
      <c r="AB11" s="8"/>
      <c r="AC11" s="9"/>
      <c r="AD11" s="4"/>
      <c r="AE11" s="4"/>
      <c r="AF11" s="9"/>
      <c r="AG11" s="9"/>
      <c r="AH11" s="9"/>
      <c r="AI11" s="9"/>
      <c r="AJ11" s="9"/>
      <c r="AK11" s="9"/>
      <c r="AL11" s="9"/>
      <c r="AM11" s="9"/>
      <c r="AN11" s="9"/>
      <c r="AO11" s="9"/>
      <c r="AP11" s="9"/>
      <c r="AQ11" s="9"/>
      <c r="AR11" s="4"/>
      <c r="AS11" s="4"/>
      <c r="AT11" s="4"/>
      <c r="AU11" s="9">
        <v>2</v>
      </c>
      <c r="AV11" s="9"/>
      <c r="AW11" s="9"/>
      <c r="AX11" s="4"/>
      <c r="AY11" s="4"/>
      <c r="AZ11" s="4"/>
      <c r="BA11" s="8"/>
      <c r="BB11" s="8"/>
      <c r="BC11" s="8"/>
      <c r="BD11" s="13"/>
      <c r="BE11" s="9"/>
      <c r="BF11" s="9"/>
      <c r="BG11" s="9"/>
      <c r="BH11" s="2"/>
      <c r="BI11" s="2"/>
      <c r="BJ11" s="2"/>
      <c r="BK11" s="2"/>
      <c r="BL11" s="2"/>
      <c r="BM11" s="2"/>
      <c r="BN11" s="2"/>
      <c r="BO11" s="2"/>
      <c r="BP11" s="2"/>
      <c r="BQ11" s="2"/>
      <c r="BR11" s="2"/>
      <c r="BS11" s="2"/>
      <c r="BT11" s="2"/>
      <c r="BU11" s="2"/>
      <c r="BX11" s="37"/>
      <c r="BY11" s="37"/>
      <c r="BZ11" s="37"/>
      <c r="CA11" s="37"/>
      <c r="CB11" s="37"/>
      <c r="CC11" s="37"/>
      <c r="CD11" s="37"/>
      <c r="CE11" s="37"/>
      <c r="CF11" s="37"/>
      <c r="CI11" s="37"/>
      <c r="CJ11" s="37"/>
      <c r="CK11" s="37"/>
      <c r="CL11" s="37"/>
      <c r="CM11" s="37"/>
      <c r="CN11" s="37"/>
      <c r="CO11" s="37"/>
      <c r="CP11" s="37"/>
      <c r="CQ11" s="37"/>
      <c r="CR11" s="37"/>
      <c r="CS11" s="37"/>
      <c r="CT11" s="37"/>
      <c r="CU11" s="37"/>
      <c r="CV11" s="37"/>
      <c r="CW11" s="37"/>
      <c r="CX11" s="37"/>
      <c r="CY11" s="37"/>
      <c r="CZ11" s="37"/>
      <c r="FA11" s="37"/>
      <c r="FB11" s="37"/>
    </row>
    <row r="12" spans="1:158" x14ac:dyDescent="0.3">
      <c r="A12" s="34">
        <v>9</v>
      </c>
      <c r="B12" s="38"/>
      <c r="C12" s="2"/>
      <c r="D12" s="16"/>
      <c r="E12" s="7"/>
      <c r="F12" s="4"/>
      <c r="G12" s="8"/>
      <c r="H12" s="4"/>
      <c r="I12" s="9"/>
      <c r="J12" s="4"/>
      <c r="K12" s="4"/>
      <c r="L12" s="4"/>
      <c r="M12" s="4"/>
      <c r="N12" s="4"/>
      <c r="O12" s="4"/>
      <c r="P12" s="4"/>
      <c r="Q12" s="4"/>
      <c r="R12" s="4"/>
      <c r="S12" s="4"/>
      <c r="T12" s="4"/>
      <c r="U12" s="4"/>
      <c r="V12" s="9"/>
      <c r="W12" s="8"/>
      <c r="X12" s="8"/>
      <c r="Y12" s="9"/>
      <c r="Z12" s="9"/>
      <c r="AA12" s="8"/>
      <c r="AB12" s="8"/>
      <c r="AC12" s="9"/>
      <c r="AD12" s="4"/>
      <c r="AE12" s="4"/>
      <c r="AF12" s="9"/>
      <c r="AG12" s="9"/>
      <c r="AH12" s="9"/>
      <c r="AI12" s="9"/>
      <c r="AJ12" s="9"/>
      <c r="AK12" s="9"/>
      <c r="AL12" s="9"/>
      <c r="AM12" s="9"/>
      <c r="AN12" s="9"/>
      <c r="AO12" s="9"/>
      <c r="AP12" s="9"/>
      <c r="AQ12" s="9"/>
      <c r="AR12" s="4"/>
      <c r="AS12" s="4"/>
      <c r="AT12" s="4"/>
      <c r="AU12" s="9">
        <v>2</v>
      </c>
      <c r="AV12" s="9"/>
      <c r="AW12" s="9"/>
      <c r="AX12" s="4"/>
      <c r="AY12" s="4"/>
      <c r="AZ12" s="4"/>
      <c r="BA12" s="8"/>
      <c r="BB12" s="8"/>
      <c r="BC12" s="8"/>
      <c r="BD12" s="13"/>
      <c r="BE12" s="9"/>
      <c r="BF12" s="9"/>
      <c r="BG12" s="9"/>
      <c r="BH12" s="2"/>
      <c r="BI12" s="2"/>
      <c r="BJ12" s="2"/>
      <c r="BK12" s="2"/>
      <c r="BL12" s="2"/>
      <c r="BM12" s="2"/>
      <c r="BN12" s="2"/>
      <c r="BO12" s="2"/>
      <c r="BP12" s="2"/>
      <c r="BQ12" s="2"/>
      <c r="BR12" s="2"/>
      <c r="BS12" s="2"/>
      <c r="BT12" s="2"/>
      <c r="BU12" s="2"/>
      <c r="BX12" s="37"/>
      <c r="BY12" s="37"/>
      <c r="BZ12" s="37"/>
      <c r="CA12" s="37"/>
      <c r="CB12" s="37"/>
      <c r="CC12" s="37"/>
      <c r="CD12" s="37"/>
      <c r="CE12" s="37"/>
      <c r="CF12" s="37"/>
      <c r="CI12" s="37"/>
      <c r="CJ12" s="37"/>
      <c r="CK12" s="37"/>
      <c r="CL12" s="37"/>
      <c r="CM12" s="37"/>
      <c r="CN12" s="37"/>
      <c r="CO12" s="37"/>
      <c r="CP12" s="37"/>
      <c r="CQ12" s="37"/>
      <c r="CR12" s="37"/>
      <c r="CS12" s="37"/>
      <c r="CT12" s="37"/>
      <c r="CU12" s="37"/>
      <c r="CV12" s="37"/>
      <c r="CW12" s="37"/>
      <c r="CX12" s="37"/>
      <c r="CY12" s="37"/>
      <c r="CZ12" s="37"/>
      <c r="FA12" s="37"/>
      <c r="FB12" s="37"/>
    </row>
    <row r="13" spans="1:158" x14ac:dyDescent="0.3">
      <c r="A13" s="34">
        <v>10</v>
      </c>
      <c r="B13" s="38"/>
      <c r="C13" s="2"/>
      <c r="D13" s="16"/>
      <c r="E13" s="7"/>
      <c r="F13" s="4"/>
      <c r="G13" s="8"/>
      <c r="H13" s="4"/>
      <c r="I13" s="9"/>
      <c r="J13" s="4"/>
      <c r="K13" s="4"/>
      <c r="L13" s="4"/>
      <c r="M13" s="4"/>
      <c r="N13" s="4"/>
      <c r="O13" s="4"/>
      <c r="P13" s="4"/>
      <c r="Q13" s="4"/>
      <c r="R13" s="4"/>
      <c r="S13" s="4"/>
      <c r="T13" s="4"/>
      <c r="U13" s="4"/>
      <c r="V13" s="9"/>
      <c r="W13" s="8"/>
      <c r="X13" s="8"/>
      <c r="Y13" s="9"/>
      <c r="Z13" s="9"/>
      <c r="AA13" s="8"/>
      <c r="AB13" s="8"/>
      <c r="AC13" s="9"/>
      <c r="AD13" s="4"/>
      <c r="AE13" s="4"/>
      <c r="AF13" s="9"/>
      <c r="AG13" s="9"/>
      <c r="AH13" s="9"/>
      <c r="AI13" s="9"/>
      <c r="AJ13" s="9"/>
      <c r="AK13" s="9"/>
      <c r="AL13" s="9"/>
      <c r="AM13" s="9"/>
      <c r="AN13" s="9"/>
      <c r="AO13" s="9"/>
      <c r="AP13" s="9"/>
      <c r="AQ13" s="9"/>
      <c r="AR13" s="4"/>
      <c r="AS13" s="4"/>
      <c r="AT13" s="4"/>
      <c r="AU13" s="9">
        <v>2</v>
      </c>
      <c r="AV13" s="9"/>
      <c r="AW13" s="9"/>
      <c r="AX13" s="4"/>
      <c r="AY13" s="4"/>
      <c r="AZ13" s="4"/>
      <c r="BA13" s="8"/>
      <c r="BB13" s="8"/>
      <c r="BC13" s="8"/>
      <c r="BD13" s="13"/>
      <c r="BE13" s="9"/>
      <c r="BF13" s="9"/>
      <c r="BG13" s="9"/>
      <c r="BH13" s="2"/>
      <c r="BI13" s="2"/>
      <c r="BJ13" s="2"/>
      <c r="BK13" s="2"/>
      <c r="BL13" s="2"/>
      <c r="BM13" s="2"/>
      <c r="BN13" s="2"/>
      <c r="BO13" s="2"/>
      <c r="BP13" s="2"/>
      <c r="BQ13" s="2"/>
      <c r="BR13" s="2"/>
      <c r="BS13" s="2"/>
      <c r="BT13" s="2"/>
      <c r="BU13" s="2"/>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FA13" s="37"/>
      <c r="FB13" s="37"/>
    </row>
    <row r="14" spans="1:158" x14ac:dyDescent="0.3">
      <c r="A14" s="34">
        <v>11</v>
      </c>
      <c r="B14" s="38"/>
      <c r="C14" s="2"/>
      <c r="D14" s="16"/>
      <c r="E14" s="7"/>
      <c r="F14" s="4"/>
      <c r="G14" s="8"/>
      <c r="H14" s="4"/>
      <c r="I14" s="9"/>
      <c r="J14" s="4"/>
      <c r="K14" s="4"/>
      <c r="L14" s="4"/>
      <c r="M14" s="4"/>
      <c r="N14" s="4"/>
      <c r="O14" s="4"/>
      <c r="P14" s="4"/>
      <c r="Q14" s="4"/>
      <c r="R14" s="4"/>
      <c r="S14" s="4"/>
      <c r="T14" s="4"/>
      <c r="U14" s="4"/>
      <c r="V14" s="9"/>
      <c r="W14" s="8"/>
      <c r="X14" s="8"/>
      <c r="Y14" s="9"/>
      <c r="Z14" s="9"/>
      <c r="AA14" s="8"/>
      <c r="AB14" s="8"/>
      <c r="AC14" s="9"/>
      <c r="AD14" s="4"/>
      <c r="AE14" s="4"/>
      <c r="AF14" s="9"/>
      <c r="AG14" s="9"/>
      <c r="AH14" s="9"/>
      <c r="AI14" s="9"/>
      <c r="AJ14" s="9"/>
      <c r="AK14" s="9"/>
      <c r="AL14" s="9"/>
      <c r="AM14" s="9"/>
      <c r="AN14" s="9"/>
      <c r="AO14" s="9"/>
      <c r="AP14" s="9"/>
      <c r="AQ14" s="9"/>
      <c r="AR14" s="4"/>
      <c r="AS14" s="4"/>
      <c r="AT14" s="4"/>
      <c r="AU14" s="9">
        <v>2</v>
      </c>
      <c r="AV14" s="9"/>
      <c r="AW14" s="9"/>
      <c r="AX14" s="4"/>
      <c r="AY14" s="4"/>
      <c r="AZ14" s="4"/>
      <c r="BA14" s="8"/>
      <c r="BB14" s="8"/>
      <c r="BC14" s="8"/>
      <c r="BD14" s="13"/>
      <c r="BE14" s="9"/>
      <c r="BF14" s="9"/>
      <c r="BG14" s="9"/>
      <c r="BH14" s="2"/>
      <c r="BI14" s="2"/>
      <c r="BJ14" s="2"/>
      <c r="BK14" s="2"/>
      <c r="BL14" s="2"/>
      <c r="BM14" s="2"/>
      <c r="BN14" s="2"/>
      <c r="BO14" s="2"/>
      <c r="BP14" s="2"/>
      <c r="BQ14" s="2"/>
      <c r="BR14" s="2"/>
      <c r="BS14" s="2"/>
      <c r="BT14" s="2"/>
      <c r="BU14" s="2"/>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FA14" s="37"/>
      <c r="FB14" s="37"/>
    </row>
    <row r="15" spans="1:158" x14ac:dyDescent="0.3">
      <c r="A15" s="34">
        <v>12</v>
      </c>
      <c r="B15" s="38"/>
      <c r="C15" s="2"/>
      <c r="D15" s="16"/>
      <c r="E15" s="7"/>
      <c r="F15" s="4"/>
      <c r="G15" s="8"/>
      <c r="H15" s="4"/>
      <c r="I15" s="9"/>
      <c r="J15" s="4"/>
      <c r="K15" s="4"/>
      <c r="L15" s="4"/>
      <c r="M15" s="4"/>
      <c r="N15" s="4"/>
      <c r="O15" s="4"/>
      <c r="P15" s="4"/>
      <c r="Q15" s="4"/>
      <c r="R15" s="4"/>
      <c r="S15" s="4"/>
      <c r="T15" s="4"/>
      <c r="U15" s="4"/>
      <c r="V15" s="9"/>
      <c r="W15" s="8"/>
      <c r="X15" s="8"/>
      <c r="Y15" s="9"/>
      <c r="Z15" s="9"/>
      <c r="AA15" s="8"/>
      <c r="AB15" s="8"/>
      <c r="AC15" s="9"/>
      <c r="AD15" s="4"/>
      <c r="AE15" s="4"/>
      <c r="AF15" s="9"/>
      <c r="AG15" s="9"/>
      <c r="AH15" s="9"/>
      <c r="AI15" s="9"/>
      <c r="AJ15" s="9"/>
      <c r="AK15" s="9"/>
      <c r="AL15" s="9"/>
      <c r="AM15" s="9"/>
      <c r="AN15" s="9"/>
      <c r="AO15" s="9"/>
      <c r="AP15" s="9"/>
      <c r="AQ15" s="9"/>
      <c r="AR15" s="4"/>
      <c r="AS15" s="4"/>
      <c r="AT15" s="4"/>
      <c r="AU15" s="9">
        <v>2</v>
      </c>
      <c r="AV15" s="9"/>
      <c r="AW15" s="9"/>
      <c r="AX15" s="4"/>
      <c r="AY15" s="4"/>
      <c r="AZ15" s="4"/>
      <c r="BA15" s="8"/>
      <c r="BB15" s="8"/>
      <c r="BC15" s="8"/>
      <c r="BD15" s="13"/>
      <c r="BE15" s="9"/>
      <c r="BF15" s="9"/>
      <c r="BG15" s="9"/>
      <c r="BH15" s="2"/>
      <c r="BI15" s="2"/>
      <c r="BJ15" s="2"/>
      <c r="BK15" s="2"/>
      <c r="BL15" s="2"/>
      <c r="BM15" s="2"/>
      <c r="BN15" s="2"/>
      <c r="BO15" s="2"/>
      <c r="BP15" s="2"/>
      <c r="BQ15" s="2"/>
      <c r="BR15" s="2"/>
      <c r="BS15" s="2"/>
      <c r="BT15" s="2"/>
      <c r="BU15" s="2"/>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FA15" s="37"/>
      <c r="FB15" s="37"/>
    </row>
    <row r="16" spans="1:158" x14ac:dyDescent="0.3">
      <c r="A16" s="34">
        <v>13</v>
      </c>
      <c r="B16" s="38"/>
      <c r="C16" s="2"/>
      <c r="D16" s="16"/>
      <c r="E16" s="7"/>
      <c r="F16" s="4"/>
      <c r="G16" s="8"/>
      <c r="H16" s="4"/>
      <c r="I16" s="9"/>
      <c r="J16" s="4"/>
      <c r="K16" s="4"/>
      <c r="L16" s="4"/>
      <c r="M16" s="4"/>
      <c r="N16" s="4"/>
      <c r="O16" s="4"/>
      <c r="P16" s="4"/>
      <c r="Q16" s="4"/>
      <c r="R16" s="4"/>
      <c r="S16" s="4"/>
      <c r="T16" s="4"/>
      <c r="U16" s="4"/>
      <c r="V16" s="9"/>
      <c r="W16" s="8"/>
      <c r="X16" s="8"/>
      <c r="Y16" s="9"/>
      <c r="Z16" s="9"/>
      <c r="AA16" s="8"/>
      <c r="AB16" s="8"/>
      <c r="AC16" s="9"/>
      <c r="AD16" s="4"/>
      <c r="AE16" s="4"/>
      <c r="AF16" s="9"/>
      <c r="AG16" s="9"/>
      <c r="AH16" s="9"/>
      <c r="AI16" s="9"/>
      <c r="AJ16" s="9"/>
      <c r="AK16" s="9"/>
      <c r="AL16" s="9"/>
      <c r="AM16" s="9"/>
      <c r="AN16" s="9"/>
      <c r="AO16" s="9"/>
      <c r="AP16" s="9"/>
      <c r="AQ16" s="9"/>
      <c r="AR16" s="4"/>
      <c r="AS16" s="4"/>
      <c r="AT16" s="4"/>
      <c r="AU16" s="9">
        <v>2</v>
      </c>
      <c r="AV16" s="9"/>
      <c r="AW16" s="9"/>
      <c r="AX16" s="4"/>
      <c r="AY16" s="4"/>
      <c r="AZ16" s="4"/>
      <c r="BA16" s="8"/>
      <c r="BB16" s="8"/>
      <c r="BC16" s="8"/>
      <c r="BD16" s="13"/>
      <c r="BE16" s="9"/>
      <c r="BF16" s="9"/>
      <c r="BG16" s="9"/>
      <c r="BH16" s="2"/>
      <c r="BI16" s="2"/>
      <c r="BJ16" s="2"/>
      <c r="BK16" s="2"/>
      <c r="BL16" s="2"/>
      <c r="BM16" s="2"/>
      <c r="BN16" s="2"/>
      <c r="BO16" s="2"/>
      <c r="BP16" s="2"/>
      <c r="BQ16" s="2"/>
      <c r="BR16" s="2"/>
      <c r="BS16" s="2"/>
      <c r="BT16" s="2"/>
      <c r="BU16" s="2"/>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7"/>
      <c r="CY16" s="37"/>
      <c r="CZ16" s="37"/>
      <c r="FA16" s="37"/>
      <c r="FB16" s="37"/>
    </row>
    <row r="17" spans="1:158" x14ac:dyDescent="0.3">
      <c r="A17" s="34">
        <v>14</v>
      </c>
      <c r="B17" s="38"/>
      <c r="C17" s="2"/>
      <c r="D17" s="16"/>
      <c r="E17" s="7"/>
      <c r="F17" s="4"/>
      <c r="G17" s="8"/>
      <c r="H17" s="4"/>
      <c r="I17" s="9"/>
      <c r="J17" s="4"/>
      <c r="K17" s="4"/>
      <c r="L17" s="4"/>
      <c r="M17" s="4"/>
      <c r="N17" s="4"/>
      <c r="O17" s="4"/>
      <c r="P17" s="4"/>
      <c r="Q17" s="4"/>
      <c r="R17" s="4"/>
      <c r="S17" s="4"/>
      <c r="T17" s="4"/>
      <c r="U17" s="4"/>
      <c r="V17" s="9"/>
      <c r="W17" s="8"/>
      <c r="X17" s="8"/>
      <c r="Y17" s="9"/>
      <c r="Z17" s="9"/>
      <c r="AA17" s="8"/>
      <c r="AB17" s="8"/>
      <c r="AC17" s="9"/>
      <c r="AD17" s="4"/>
      <c r="AE17" s="4"/>
      <c r="AF17" s="9"/>
      <c r="AG17" s="9"/>
      <c r="AH17" s="9"/>
      <c r="AI17" s="9"/>
      <c r="AJ17" s="9"/>
      <c r="AK17" s="9"/>
      <c r="AL17" s="9"/>
      <c r="AM17" s="9"/>
      <c r="AN17" s="9"/>
      <c r="AO17" s="9"/>
      <c r="AP17" s="9"/>
      <c r="AQ17" s="9"/>
      <c r="AR17" s="4"/>
      <c r="AS17" s="4"/>
      <c r="AT17" s="4"/>
      <c r="AU17" s="9">
        <v>2</v>
      </c>
      <c r="AV17" s="9"/>
      <c r="AW17" s="9"/>
      <c r="AX17" s="4"/>
      <c r="AY17" s="4"/>
      <c r="AZ17" s="4"/>
      <c r="BA17" s="8"/>
      <c r="BB17" s="8"/>
      <c r="BC17" s="8"/>
      <c r="BD17" s="13"/>
      <c r="BE17" s="9"/>
      <c r="BF17" s="9"/>
      <c r="BG17" s="9"/>
      <c r="BH17" s="2"/>
      <c r="BI17" s="2"/>
      <c r="BJ17" s="2"/>
      <c r="BK17" s="2"/>
      <c r="BL17" s="2"/>
      <c r="BM17" s="2"/>
      <c r="BN17" s="2"/>
      <c r="BO17" s="2"/>
      <c r="BP17" s="2"/>
      <c r="BQ17" s="2"/>
      <c r="BR17" s="2"/>
      <c r="BS17" s="2"/>
      <c r="BT17" s="2"/>
      <c r="BU17" s="2"/>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7"/>
      <c r="CY17" s="37"/>
      <c r="CZ17" s="37"/>
      <c r="FA17" s="37"/>
      <c r="FB17" s="37"/>
    </row>
    <row r="18" spans="1:158" x14ac:dyDescent="0.3">
      <c r="A18" s="34">
        <v>15</v>
      </c>
      <c r="B18" s="38"/>
      <c r="C18" s="2"/>
      <c r="D18" s="16"/>
      <c r="E18" s="7"/>
      <c r="F18" s="4"/>
      <c r="G18" s="8"/>
      <c r="H18" s="4"/>
      <c r="I18" s="9"/>
      <c r="J18" s="4"/>
      <c r="K18" s="4"/>
      <c r="L18" s="4"/>
      <c r="M18" s="4"/>
      <c r="N18" s="4"/>
      <c r="O18" s="4"/>
      <c r="P18" s="4"/>
      <c r="Q18" s="4"/>
      <c r="R18" s="4"/>
      <c r="S18" s="4"/>
      <c r="T18" s="4"/>
      <c r="U18" s="4"/>
      <c r="V18" s="9"/>
      <c r="W18" s="8"/>
      <c r="X18" s="8"/>
      <c r="Y18" s="9"/>
      <c r="Z18" s="9"/>
      <c r="AA18" s="8"/>
      <c r="AB18" s="8"/>
      <c r="AC18" s="9"/>
      <c r="AD18" s="4"/>
      <c r="AE18" s="4"/>
      <c r="AF18" s="9"/>
      <c r="AG18" s="9"/>
      <c r="AH18" s="9"/>
      <c r="AI18" s="9"/>
      <c r="AJ18" s="9"/>
      <c r="AK18" s="9"/>
      <c r="AL18" s="9"/>
      <c r="AM18" s="9"/>
      <c r="AN18" s="9"/>
      <c r="AO18" s="9"/>
      <c r="AP18" s="9"/>
      <c r="AQ18" s="9"/>
      <c r="AR18" s="4"/>
      <c r="AS18" s="4"/>
      <c r="AT18" s="4"/>
      <c r="AU18" s="9">
        <v>2</v>
      </c>
      <c r="AV18" s="9"/>
      <c r="AW18" s="9"/>
      <c r="AX18" s="4"/>
      <c r="AY18" s="4"/>
      <c r="AZ18" s="4"/>
      <c r="BA18" s="8"/>
      <c r="BB18" s="8"/>
      <c r="BC18" s="8"/>
      <c r="BD18" s="13"/>
      <c r="BE18" s="9"/>
      <c r="BF18" s="9"/>
      <c r="BG18" s="9"/>
      <c r="BH18" s="2"/>
      <c r="BI18" s="2"/>
      <c r="BJ18" s="2"/>
      <c r="BK18" s="2"/>
      <c r="BL18" s="2"/>
      <c r="BM18" s="2"/>
      <c r="BN18" s="2"/>
      <c r="BO18" s="2"/>
      <c r="BP18" s="2"/>
      <c r="BQ18" s="2"/>
      <c r="BR18" s="2"/>
      <c r="BS18" s="2"/>
      <c r="BT18" s="2"/>
      <c r="BU18" s="2"/>
      <c r="BX18" s="37"/>
      <c r="BY18" s="37"/>
      <c r="BZ18" s="37"/>
      <c r="CA18" s="37"/>
      <c r="CB18" s="37"/>
      <c r="CC18" s="37"/>
      <c r="CD18" s="37"/>
      <c r="CE18" s="37"/>
      <c r="CF18" s="37"/>
      <c r="CG18" s="37"/>
      <c r="CH18" s="37"/>
      <c r="CI18" s="37"/>
      <c r="CJ18" s="37"/>
      <c r="CK18" s="37"/>
      <c r="CL18" s="37"/>
      <c r="CM18" s="37"/>
      <c r="CN18" s="37"/>
      <c r="CO18" s="37"/>
      <c r="CP18" s="37"/>
      <c r="CQ18" s="37"/>
      <c r="CR18" s="37"/>
      <c r="CS18" s="37"/>
      <c r="CT18" s="37"/>
      <c r="CU18" s="37"/>
      <c r="CV18" s="37"/>
      <c r="CW18" s="37"/>
      <c r="CX18" s="37"/>
      <c r="CY18" s="37"/>
      <c r="CZ18" s="37"/>
      <c r="FA18" s="37"/>
      <c r="FB18" s="37"/>
    </row>
    <row r="19" spans="1:158" x14ac:dyDescent="0.3">
      <c r="A19" s="34">
        <v>16</v>
      </c>
      <c r="B19" s="38"/>
      <c r="C19" s="2"/>
      <c r="D19" s="16"/>
      <c r="E19" s="7"/>
      <c r="F19" s="4"/>
      <c r="G19" s="8"/>
      <c r="H19" s="4"/>
      <c r="I19" s="9"/>
      <c r="J19" s="4"/>
      <c r="K19" s="4"/>
      <c r="L19" s="4"/>
      <c r="M19" s="4"/>
      <c r="N19" s="4"/>
      <c r="O19" s="4"/>
      <c r="P19" s="4"/>
      <c r="Q19" s="4"/>
      <c r="R19" s="4"/>
      <c r="S19" s="4"/>
      <c r="T19" s="4"/>
      <c r="U19" s="4"/>
      <c r="V19" s="9"/>
      <c r="W19" s="8"/>
      <c r="X19" s="8"/>
      <c r="Y19" s="9"/>
      <c r="Z19" s="9"/>
      <c r="AA19" s="8"/>
      <c r="AB19" s="8"/>
      <c r="AC19" s="9"/>
      <c r="AD19" s="4"/>
      <c r="AE19" s="4"/>
      <c r="AF19" s="9"/>
      <c r="AG19" s="9"/>
      <c r="AH19" s="9"/>
      <c r="AI19" s="9"/>
      <c r="AJ19" s="9"/>
      <c r="AK19" s="9"/>
      <c r="AL19" s="9"/>
      <c r="AM19" s="9"/>
      <c r="AN19" s="9"/>
      <c r="AO19" s="9"/>
      <c r="AP19" s="9"/>
      <c r="AQ19" s="9"/>
      <c r="AR19" s="4"/>
      <c r="AS19" s="4"/>
      <c r="AT19" s="4"/>
      <c r="AU19" s="9">
        <v>2</v>
      </c>
      <c r="AV19" s="9"/>
      <c r="AW19" s="9"/>
      <c r="AX19" s="4"/>
      <c r="AY19" s="4"/>
      <c r="AZ19" s="4"/>
      <c r="BA19" s="8"/>
      <c r="BB19" s="8"/>
      <c r="BC19" s="8"/>
      <c r="BD19" s="13"/>
      <c r="BE19" s="9"/>
      <c r="BF19" s="9"/>
      <c r="BG19" s="9"/>
      <c r="BH19" s="2"/>
      <c r="BI19" s="2"/>
      <c r="BJ19" s="2"/>
      <c r="BK19" s="2"/>
      <c r="BL19" s="2"/>
      <c r="BM19" s="2"/>
      <c r="BN19" s="2"/>
      <c r="BO19" s="2"/>
      <c r="BP19" s="2"/>
      <c r="BQ19" s="2"/>
      <c r="BR19" s="2"/>
      <c r="BS19" s="2"/>
      <c r="BT19" s="2"/>
      <c r="BU19" s="2"/>
      <c r="BX19" s="37"/>
      <c r="BY19" s="37"/>
      <c r="BZ19" s="37"/>
      <c r="CA19" s="37"/>
      <c r="CB19" s="37"/>
      <c r="CC19" s="37"/>
      <c r="CD19" s="37"/>
      <c r="CE19" s="37"/>
      <c r="CF19" s="37"/>
      <c r="CG19" s="37"/>
      <c r="CH19" s="37"/>
      <c r="CI19" s="37"/>
      <c r="CJ19" s="37"/>
      <c r="CK19" s="37"/>
      <c r="CL19" s="37"/>
      <c r="CM19" s="37"/>
      <c r="CN19" s="37"/>
      <c r="CO19" s="37"/>
      <c r="CP19" s="37"/>
      <c r="CQ19" s="37"/>
      <c r="CR19" s="37"/>
      <c r="CS19" s="37"/>
      <c r="CT19" s="37"/>
      <c r="CU19" s="37"/>
      <c r="CV19" s="37"/>
      <c r="CW19" s="37"/>
      <c r="CX19" s="37"/>
      <c r="CY19" s="37"/>
      <c r="CZ19" s="37"/>
      <c r="FA19" s="37"/>
      <c r="FB19" s="37"/>
    </row>
    <row r="20" spans="1:158" x14ac:dyDescent="0.3">
      <c r="A20" s="34">
        <v>17</v>
      </c>
      <c r="B20" s="38"/>
      <c r="C20" s="2"/>
      <c r="D20" s="16"/>
      <c r="E20" s="7"/>
      <c r="F20" s="4"/>
      <c r="G20" s="8"/>
      <c r="H20" s="4"/>
      <c r="I20" s="9"/>
      <c r="J20" s="4"/>
      <c r="K20" s="4"/>
      <c r="L20" s="4"/>
      <c r="M20" s="4"/>
      <c r="N20" s="4"/>
      <c r="O20" s="4"/>
      <c r="P20" s="4"/>
      <c r="Q20" s="4"/>
      <c r="R20" s="4"/>
      <c r="S20" s="4"/>
      <c r="T20" s="4"/>
      <c r="U20" s="4"/>
      <c r="V20" s="9"/>
      <c r="W20" s="8"/>
      <c r="X20" s="8"/>
      <c r="Y20" s="9"/>
      <c r="Z20" s="9"/>
      <c r="AA20" s="8"/>
      <c r="AB20" s="8"/>
      <c r="AC20" s="9"/>
      <c r="AD20" s="4"/>
      <c r="AE20" s="4"/>
      <c r="AF20" s="9"/>
      <c r="AG20" s="9"/>
      <c r="AH20" s="9"/>
      <c r="AI20" s="9"/>
      <c r="AJ20" s="9"/>
      <c r="AK20" s="9"/>
      <c r="AL20" s="9"/>
      <c r="AM20" s="9"/>
      <c r="AN20" s="9"/>
      <c r="AO20" s="9"/>
      <c r="AP20" s="9"/>
      <c r="AQ20" s="9"/>
      <c r="AR20" s="4"/>
      <c r="AS20" s="4"/>
      <c r="AT20" s="4"/>
      <c r="AU20" s="9">
        <v>2</v>
      </c>
      <c r="AV20" s="9"/>
      <c r="AW20" s="9"/>
      <c r="AX20" s="4"/>
      <c r="AY20" s="4"/>
      <c r="AZ20" s="4"/>
      <c r="BA20" s="8"/>
      <c r="BB20" s="8"/>
      <c r="BC20" s="8"/>
      <c r="BD20" s="13"/>
      <c r="BE20" s="9"/>
      <c r="BF20" s="9"/>
      <c r="BG20" s="9"/>
      <c r="BH20" s="2"/>
      <c r="BI20" s="2"/>
      <c r="BJ20" s="2"/>
      <c r="BK20" s="2"/>
      <c r="BL20" s="2"/>
      <c r="BM20" s="2"/>
      <c r="BN20" s="2"/>
      <c r="BO20" s="2"/>
      <c r="BP20" s="2"/>
      <c r="BQ20" s="2"/>
      <c r="BR20" s="2"/>
      <c r="BS20" s="2"/>
      <c r="BT20" s="2"/>
      <c r="BU20" s="2"/>
      <c r="BX20" s="37"/>
      <c r="BY20" s="37"/>
      <c r="BZ20" s="37"/>
      <c r="CA20" s="37"/>
      <c r="CB20" s="37"/>
      <c r="CC20" s="37"/>
      <c r="CD20" s="37"/>
      <c r="CE20" s="37"/>
      <c r="CF20" s="37"/>
      <c r="CG20" s="37"/>
      <c r="CH20" s="37"/>
      <c r="CI20" s="37"/>
      <c r="CJ20" s="37"/>
      <c r="CK20" s="37"/>
      <c r="CL20" s="37"/>
      <c r="CM20" s="37"/>
      <c r="CN20" s="37"/>
      <c r="CO20" s="37"/>
      <c r="CP20" s="37"/>
      <c r="CQ20" s="37"/>
      <c r="CR20" s="37"/>
      <c r="CS20" s="37"/>
      <c r="CT20" s="37"/>
      <c r="CU20" s="37"/>
      <c r="CV20" s="37"/>
      <c r="CW20" s="37"/>
      <c r="CX20" s="37"/>
      <c r="CY20" s="37"/>
      <c r="CZ20" s="37"/>
      <c r="FA20" s="37"/>
      <c r="FB20" s="37"/>
    </row>
    <row r="21" spans="1:158" x14ac:dyDescent="0.3">
      <c r="A21" s="34">
        <v>18</v>
      </c>
      <c r="B21" s="38"/>
      <c r="C21" s="2"/>
      <c r="D21" s="16"/>
      <c r="E21" s="7"/>
      <c r="F21" s="4"/>
      <c r="G21" s="8"/>
      <c r="H21" s="4"/>
      <c r="I21" s="9"/>
      <c r="J21" s="4"/>
      <c r="K21" s="4"/>
      <c r="L21" s="4"/>
      <c r="M21" s="4"/>
      <c r="N21" s="4"/>
      <c r="O21" s="4"/>
      <c r="P21" s="4"/>
      <c r="Q21" s="4"/>
      <c r="R21" s="4"/>
      <c r="S21" s="4"/>
      <c r="T21" s="4"/>
      <c r="U21" s="4"/>
      <c r="V21" s="9"/>
      <c r="W21" s="8"/>
      <c r="X21" s="8"/>
      <c r="Y21" s="9"/>
      <c r="Z21" s="9"/>
      <c r="AA21" s="8"/>
      <c r="AB21" s="8"/>
      <c r="AC21" s="9"/>
      <c r="AD21" s="4"/>
      <c r="AE21" s="4"/>
      <c r="AF21" s="9"/>
      <c r="AG21" s="9"/>
      <c r="AH21" s="9"/>
      <c r="AI21" s="9"/>
      <c r="AJ21" s="9"/>
      <c r="AK21" s="9"/>
      <c r="AL21" s="9"/>
      <c r="AM21" s="9"/>
      <c r="AN21" s="9"/>
      <c r="AO21" s="9"/>
      <c r="AP21" s="9"/>
      <c r="AQ21" s="9"/>
      <c r="AR21" s="4"/>
      <c r="AS21" s="4"/>
      <c r="AT21" s="4"/>
      <c r="AU21" s="9">
        <v>2</v>
      </c>
      <c r="AV21" s="9"/>
      <c r="AW21" s="9"/>
      <c r="AX21" s="4"/>
      <c r="AY21" s="4"/>
      <c r="AZ21" s="4"/>
      <c r="BA21" s="8"/>
      <c r="BB21" s="8"/>
      <c r="BC21" s="8"/>
      <c r="BD21" s="13"/>
      <c r="BE21" s="9"/>
      <c r="BF21" s="9"/>
      <c r="BG21" s="9"/>
      <c r="BH21" s="2"/>
      <c r="BI21" s="2"/>
      <c r="BJ21" s="2"/>
      <c r="BK21" s="2"/>
      <c r="BL21" s="2"/>
      <c r="BM21" s="2"/>
      <c r="BN21" s="2"/>
      <c r="BO21" s="2"/>
      <c r="BP21" s="2"/>
      <c r="BQ21" s="2"/>
      <c r="BR21" s="2"/>
      <c r="BS21" s="2"/>
      <c r="BT21" s="2"/>
      <c r="BU21" s="2"/>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FA21" s="37"/>
      <c r="FB21" s="37"/>
    </row>
    <row r="22" spans="1:158" x14ac:dyDescent="0.3">
      <c r="A22" s="34">
        <v>19</v>
      </c>
      <c r="B22" s="38"/>
      <c r="C22" s="2"/>
      <c r="D22" s="16"/>
      <c r="E22" s="7"/>
      <c r="F22" s="4"/>
      <c r="G22" s="8"/>
      <c r="H22" s="4"/>
      <c r="I22" s="9"/>
      <c r="J22" s="4"/>
      <c r="K22" s="4"/>
      <c r="L22" s="4"/>
      <c r="M22" s="4"/>
      <c r="N22" s="4"/>
      <c r="O22" s="4"/>
      <c r="P22" s="4"/>
      <c r="Q22" s="4"/>
      <c r="R22" s="4"/>
      <c r="S22" s="4"/>
      <c r="T22" s="4"/>
      <c r="U22" s="4"/>
      <c r="V22" s="9"/>
      <c r="W22" s="8"/>
      <c r="X22" s="8"/>
      <c r="Y22" s="9"/>
      <c r="Z22" s="9"/>
      <c r="AA22" s="8"/>
      <c r="AB22" s="8"/>
      <c r="AC22" s="9"/>
      <c r="AD22" s="4"/>
      <c r="AE22" s="4"/>
      <c r="AF22" s="9"/>
      <c r="AG22" s="9"/>
      <c r="AH22" s="9"/>
      <c r="AI22" s="9"/>
      <c r="AJ22" s="9"/>
      <c r="AK22" s="9"/>
      <c r="AL22" s="9"/>
      <c r="AM22" s="9"/>
      <c r="AN22" s="9"/>
      <c r="AO22" s="9"/>
      <c r="AP22" s="9"/>
      <c r="AQ22" s="9"/>
      <c r="AR22" s="4"/>
      <c r="AS22" s="4"/>
      <c r="AT22" s="4"/>
      <c r="AU22" s="9">
        <v>2</v>
      </c>
      <c r="AV22" s="9"/>
      <c r="AW22" s="9"/>
      <c r="AX22" s="4"/>
      <c r="AY22" s="4"/>
      <c r="AZ22" s="4"/>
      <c r="BA22" s="8"/>
      <c r="BB22" s="8"/>
      <c r="BC22" s="8"/>
      <c r="BD22" s="13"/>
      <c r="BE22" s="9"/>
      <c r="BF22" s="9"/>
      <c r="BG22" s="9"/>
      <c r="BH22" s="2"/>
      <c r="BI22" s="2"/>
      <c r="BJ22" s="2"/>
      <c r="BK22" s="2"/>
      <c r="BL22" s="2"/>
      <c r="BM22" s="2"/>
      <c r="BN22" s="2"/>
      <c r="BO22" s="2"/>
      <c r="BP22" s="2"/>
      <c r="BQ22" s="2"/>
      <c r="BR22" s="2"/>
      <c r="BS22" s="2"/>
      <c r="BT22" s="2"/>
      <c r="BU22" s="2"/>
      <c r="BX22" s="37"/>
      <c r="BY22" s="37"/>
      <c r="BZ22" s="37"/>
      <c r="CA22" s="37"/>
      <c r="CB22" s="37"/>
      <c r="CC22" s="37"/>
      <c r="CD22" s="37"/>
      <c r="CE22" s="37"/>
      <c r="CF22" s="37"/>
      <c r="CG22" s="37"/>
      <c r="CH22" s="37"/>
      <c r="CI22" s="37"/>
      <c r="CJ22" s="37"/>
      <c r="CK22" s="37"/>
      <c r="CL22" s="37"/>
      <c r="CM22" s="37"/>
      <c r="CN22" s="37"/>
      <c r="CO22" s="37"/>
      <c r="CP22" s="37"/>
      <c r="CQ22" s="37"/>
      <c r="CR22" s="37"/>
      <c r="CS22" s="37"/>
      <c r="CT22" s="37"/>
      <c r="CU22" s="37"/>
      <c r="CV22" s="37"/>
      <c r="CW22" s="37"/>
      <c r="CX22" s="37"/>
      <c r="CY22" s="37"/>
      <c r="CZ22" s="37"/>
      <c r="FA22" s="37"/>
      <c r="FB22" s="37"/>
    </row>
    <row r="23" spans="1:158" x14ac:dyDescent="0.3">
      <c r="A23" s="34">
        <v>20</v>
      </c>
      <c r="B23" s="38"/>
      <c r="C23" s="2"/>
      <c r="D23" s="16"/>
      <c r="E23" s="7"/>
      <c r="F23" s="4"/>
      <c r="G23" s="8"/>
      <c r="H23" s="4"/>
      <c r="I23" s="9"/>
      <c r="J23" s="4"/>
      <c r="K23" s="4"/>
      <c r="L23" s="4"/>
      <c r="M23" s="4"/>
      <c r="N23" s="4"/>
      <c r="O23" s="4"/>
      <c r="P23" s="4"/>
      <c r="Q23" s="4"/>
      <c r="R23" s="4"/>
      <c r="S23" s="4"/>
      <c r="T23" s="4"/>
      <c r="U23" s="4"/>
      <c r="V23" s="9"/>
      <c r="W23" s="8"/>
      <c r="X23" s="8"/>
      <c r="Y23" s="9"/>
      <c r="Z23" s="9"/>
      <c r="AA23" s="8"/>
      <c r="AB23" s="8"/>
      <c r="AC23" s="9"/>
      <c r="AD23" s="4"/>
      <c r="AE23" s="4"/>
      <c r="AF23" s="9"/>
      <c r="AG23" s="9"/>
      <c r="AH23" s="9"/>
      <c r="AI23" s="9"/>
      <c r="AJ23" s="9"/>
      <c r="AK23" s="9"/>
      <c r="AL23" s="9"/>
      <c r="AM23" s="9"/>
      <c r="AN23" s="9"/>
      <c r="AO23" s="9"/>
      <c r="AP23" s="9"/>
      <c r="AQ23" s="9"/>
      <c r="AR23" s="4"/>
      <c r="AS23" s="4"/>
      <c r="AT23" s="4"/>
      <c r="AU23" s="9">
        <v>2</v>
      </c>
      <c r="AV23" s="9"/>
      <c r="AW23" s="9"/>
      <c r="AX23" s="4"/>
      <c r="AY23" s="4"/>
      <c r="AZ23" s="4"/>
      <c r="BA23" s="8"/>
      <c r="BB23" s="8"/>
      <c r="BC23" s="8"/>
      <c r="BD23" s="13"/>
      <c r="BE23" s="9"/>
      <c r="BF23" s="9"/>
      <c r="BG23" s="9"/>
      <c r="BH23" s="2"/>
      <c r="BI23" s="2"/>
      <c r="BJ23" s="2"/>
      <c r="BK23" s="2"/>
      <c r="BL23" s="2"/>
      <c r="BM23" s="2"/>
      <c r="BN23" s="2"/>
      <c r="BO23" s="2"/>
      <c r="BP23" s="2"/>
      <c r="BQ23" s="2"/>
      <c r="BR23" s="2"/>
      <c r="BS23" s="2"/>
      <c r="BT23" s="2"/>
      <c r="BU23" s="2"/>
      <c r="BX23" s="37"/>
      <c r="BY23" s="37"/>
      <c r="BZ23" s="37"/>
      <c r="CA23" s="37"/>
      <c r="CB23" s="37"/>
      <c r="CC23" s="37"/>
      <c r="CD23" s="37"/>
      <c r="CE23" s="37"/>
      <c r="CF23" s="37"/>
      <c r="CG23" s="37"/>
      <c r="CH23" s="37"/>
      <c r="CI23" s="37"/>
      <c r="CJ23" s="37"/>
      <c r="CK23" s="37"/>
      <c r="CL23" s="37"/>
      <c r="CM23" s="37"/>
      <c r="CN23" s="37"/>
      <c r="CO23" s="37"/>
      <c r="CP23" s="37"/>
      <c r="CQ23" s="37"/>
      <c r="CR23" s="37"/>
      <c r="CS23" s="37"/>
      <c r="CT23" s="37"/>
      <c r="CU23" s="37"/>
      <c r="CV23" s="37"/>
      <c r="CW23" s="37"/>
      <c r="CX23" s="37"/>
      <c r="CY23" s="37"/>
      <c r="CZ23" s="37"/>
      <c r="FA23" s="37"/>
      <c r="FB23" s="37"/>
    </row>
    <row r="24" spans="1:158" x14ac:dyDescent="0.3">
      <c r="BX24" s="37"/>
      <c r="BY24" s="37"/>
      <c r="BZ24" s="37"/>
      <c r="CA24" s="37"/>
      <c r="CB24" s="37"/>
      <c r="CC24" s="37"/>
      <c r="CD24" s="37"/>
      <c r="CE24" s="37"/>
      <c r="CF24" s="37"/>
      <c r="CG24" s="37"/>
      <c r="CH24" s="37"/>
      <c r="CI24" s="37"/>
      <c r="CJ24" s="37"/>
      <c r="CK24" s="37"/>
      <c r="CL24" s="37"/>
      <c r="CM24" s="37"/>
      <c r="CN24" s="37"/>
      <c r="CO24" s="37"/>
      <c r="CP24" s="37"/>
      <c r="CQ24" s="37"/>
      <c r="CR24" s="37"/>
      <c r="CS24" s="37"/>
      <c r="CT24" s="37"/>
      <c r="CU24" s="37"/>
      <c r="CV24" s="37"/>
      <c r="CW24" s="37"/>
      <c r="CX24" s="37"/>
      <c r="CY24" s="37"/>
      <c r="CZ24" s="37"/>
      <c r="DA24" s="37"/>
      <c r="DB24" s="37"/>
      <c r="DC24" s="37"/>
      <c r="DD24" s="37"/>
      <c r="DE24" s="37"/>
      <c r="DF24" s="37"/>
      <c r="DG24" s="37"/>
      <c r="DH24" s="37"/>
      <c r="DI24" s="37"/>
      <c r="DJ24" s="37"/>
      <c r="DK24" s="37"/>
      <c r="DL24" s="37"/>
      <c r="DM24" s="37"/>
      <c r="DN24" s="37"/>
      <c r="DO24" s="37"/>
      <c r="DP24" s="37"/>
      <c r="DQ24" s="37"/>
      <c r="DR24" s="37"/>
      <c r="DS24" s="37"/>
      <c r="DT24" s="37"/>
      <c r="DU24" s="37"/>
      <c r="DV24" s="37"/>
      <c r="DW24" s="37"/>
      <c r="DX24" s="37"/>
      <c r="DY24" s="37"/>
      <c r="DZ24" s="37"/>
      <c r="EA24" s="37"/>
      <c r="EB24" s="37"/>
      <c r="EC24" s="37"/>
      <c r="ED24" s="37"/>
      <c r="EE24" s="37"/>
      <c r="EF24" s="37"/>
      <c r="EG24" s="37"/>
      <c r="EH24" s="37"/>
      <c r="EI24" s="37"/>
      <c r="EJ24" s="37"/>
      <c r="EK24" s="37"/>
      <c r="EL24" s="37"/>
      <c r="EM24" s="37"/>
      <c r="EN24" s="37"/>
      <c r="EO24" s="37"/>
      <c r="EP24" s="37"/>
      <c r="EQ24" s="37"/>
      <c r="ER24" s="37"/>
      <c r="ES24" s="37"/>
      <c r="ET24" s="37"/>
      <c r="EU24" s="37"/>
      <c r="EV24" s="37"/>
      <c r="EW24" s="37"/>
      <c r="EX24" s="37"/>
      <c r="EY24" s="37"/>
      <c r="EZ24" s="37"/>
      <c r="FA24" s="37"/>
      <c r="FB24" s="37"/>
    </row>
  </sheetData>
  <autoFilter ref="A3:BG3" xr:uid="{7CF13C1F-C417-48DF-A110-C807D203C0C5}"/>
  <mergeCells count="7">
    <mergeCell ref="BB2:BF2"/>
    <mergeCell ref="J2:U2"/>
    <mergeCell ref="V2:AH2"/>
    <mergeCell ref="AJ2:AL2"/>
    <mergeCell ref="AM2:AQ2"/>
    <mergeCell ref="AR2:AW2"/>
    <mergeCell ref="AX2:BA2"/>
  </mergeCells>
  <conditionalFormatting sqref="K4:U23">
    <cfRule type="expression" dxfId="21" priority="17">
      <formula>$J4&lt;&gt;"Ya"</formula>
    </cfRule>
  </conditionalFormatting>
  <conditionalFormatting sqref="AS4:AU23 AX4:BF23">
    <cfRule type="expression" dxfId="20" priority="16">
      <formula>$AR4&lt;&gt;"Ya"</formula>
    </cfRule>
  </conditionalFormatting>
  <conditionalFormatting sqref="AV4:AW23">
    <cfRule type="expression" dxfId="19" priority="15">
      <formula>$AR4&lt;&gt;"Tidak"</formula>
    </cfRule>
  </conditionalFormatting>
  <conditionalFormatting sqref="V4:V23 Z4:Z23">
    <cfRule type="expression" dxfId="18" priority="13">
      <formula>$A4&lt;&gt;""</formula>
    </cfRule>
  </conditionalFormatting>
  <conditionalFormatting sqref="V4:V23 Z4:Z23">
    <cfRule type="expression" dxfId="17" priority="12">
      <formula>$A4=""</formula>
    </cfRule>
  </conditionalFormatting>
  <conditionalFormatting sqref="AM4:AM23 AQ4:AQ23">
    <cfRule type="expression" dxfId="16" priority="9">
      <formula>$A4&lt;&gt;""</formula>
    </cfRule>
  </conditionalFormatting>
  <conditionalFormatting sqref="AM4:AM23 AQ4:AQ23">
    <cfRule type="expression" dxfId="15" priority="8">
      <formula>$A4=""</formula>
    </cfRule>
  </conditionalFormatting>
  <conditionalFormatting sqref="AD4:AH23">
    <cfRule type="expression" dxfId="14" priority="3">
      <formula>$AC4=""</formula>
    </cfRule>
    <cfRule type="expression" dxfId="13" priority="5">
      <formula>$AC4="Negatif"</formula>
    </cfRule>
  </conditionalFormatting>
  <conditionalFormatting sqref="AD7:AH23">
    <cfRule type="expression" dxfId="12" priority="4">
      <formula>$AC7="Negatif"</formula>
    </cfRule>
  </conditionalFormatting>
  <dataValidations count="11">
    <dataValidation type="date" allowBlank="1" showInputMessage="1" showErrorMessage="1" sqref="BC4:BC6 BA4:BB23 W4:X23 G4:G23 AA4:AB23" xr:uid="{BECCB0C5-35C6-4B26-9682-1401FC724576}">
      <formula1>45292</formula1>
      <formula2>46023</formula2>
    </dataValidation>
    <dataValidation type="list" allowBlank="1" showInputMessage="1" showErrorMessage="1" sqref="H4:H23" xr:uid="{CCAD2043-1237-4EED-858A-46CDE1275148}">
      <formula1>rutin_ke</formula1>
    </dataValidation>
    <dataValidation type="list" allowBlank="1" showInputMessage="1" showErrorMessage="1" sqref="AV4:AV23" xr:uid="{DBAFCF64-AEB6-408B-82AE-5D2F7EAFB2A5}">
      <formula1>stop_prep</formula1>
    </dataValidation>
    <dataValidation type="list" allowBlank="1" showInputMessage="1" showErrorMessage="1" sqref="AS4:AS23" xr:uid="{ECF2D15B-B075-48F5-B143-5E8E97E841E7}">
      <formula1>metode_prep_kunjungan</formula1>
    </dataValidation>
    <dataValidation type="list" allowBlank="1" showInputMessage="1" showErrorMessage="1" sqref="AT4:AT23" xr:uid="{6A35F156-BBD0-4FE7-AE53-2E28171A338C}">
      <formula1>rejimen_prep</formula1>
    </dataValidation>
    <dataValidation type="list" allowBlank="1" showInputMessage="1" showErrorMessage="1" sqref="AI4:AI23" xr:uid="{5D37707E-377C-4E29-9D1B-F9E2D5F0548D}">
      <formula1>kehamilan</formula1>
    </dataValidation>
    <dataValidation type="list" allowBlank="1" showInputMessage="1" showErrorMessage="1" sqref="AD4:AE23 J4:U23 AR4:AR23 AX4:AZ23" xr:uid="{CAB3D00F-B357-4BC5-9E25-38B04E17466C}">
      <formula1>ya_tdk</formula1>
    </dataValidation>
    <dataValidation type="list" allowBlank="1" showInputMessage="1" showErrorMessage="1" sqref="AC4:AC23" xr:uid="{40F50886-CCA8-48F5-BCDC-FA26F57EC29A}">
      <formula1>hasil_sifilis</formula1>
    </dataValidation>
    <dataValidation type="list" allowBlank="1" showInputMessage="1" showErrorMessage="1" sqref="Y4:Y23" xr:uid="{580CE60C-0D07-41D4-BF2C-53423E164934}">
      <formula1>hasil_hiv</formula1>
    </dataValidation>
    <dataValidation type="list" allowBlank="1" showInputMessage="1" showErrorMessage="1" sqref="AP4:AP23" xr:uid="{093AD567-8A10-4462-A4F6-00940422857C}">
      <formula1>kepatuhan</formula1>
    </dataValidation>
    <dataValidation type="list" allowBlank="1" showInputMessage="1" showErrorMessage="1" sqref="B4:B23" xr:uid="{4D7AC372-409C-4C8D-B0A6-B64506EABED4}">
      <formula1>ya_proses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EAC37-25C9-489B-996F-EDDF08F934E7}">
  <sheetPr codeName="Sheet7"/>
  <dimension ref="A1:GI24"/>
  <sheetViews>
    <sheetView showGridLines="0" showRowColHeaders="0"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3" max="3" width="16.6640625" customWidth="1"/>
    <col min="4" max="4" width="15.88671875" customWidth="1"/>
    <col min="5" max="5" width="0" hidden="1" customWidth="1"/>
    <col min="6" max="6" width="11.6640625" customWidth="1"/>
    <col min="7" max="7" width="10" customWidth="1"/>
    <col min="8" max="8" width="12" customWidth="1"/>
    <col min="9" max="9" width="10.5546875" customWidth="1"/>
    <col min="10" max="11" width="12" customWidth="1"/>
    <col min="12" max="12" width="10.6640625" customWidth="1"/>
    <col min="13" max="13" width="12" customWidth="1"/>
    <col min="14" max="14" width="8.33203125" customWidth="1"/>
    <col min="15" max="15" width="9.33203125" customWidth="1"/>
    <col min="16" max="16" width="11" customWidth="1"/>
    <col min="17" max="18" width="12" customWidth="1"/>
    <col min="19" max="19" width="0" hidden="1" customWidth="1"/>
    <col min="20" max="20" width="12.5546875" hidden="1" customWidth="1"/>
    <col min="21" max="21" width="11.21875" hidden="1" customWidth="1"/>
    <col min="22" max="22" width="10.6640625" hidden="1" customWidth="1"/>
    <col min="23" max="23" width="0" hidden="1" customWidth="1"/>
    <col min="24" max="24" width="12.109375" hidden="1" customWidth="1"/>
    <col min="25" max="25" width="12.33203125" hidden="1" customWidth="1"/>
    <col min="26" max="26" width="11.88671875" hidden="1" customWidth="1"/>
    <col min="27" max="31" width="0" hidden="1" customWidth="1"/>
    <col min="32" max="32" width="14.44140625" hidden="1" customWidth="1"/>
    <col min="33" max="33" width="12.21875" hidden="1" customWidth="1"/>
    <col min="34" max="35" width="0" hidden="1" customWidth="1"/>
    <col min="36" max="36" width="14.6640625" customWidth="1"/>
    <col min="38" max="38" width="14.21875" customWidth="1"/>
    <col min="42" max="43" width="16.6640625" customWidth="1"/>
    <col min="44" max="44" width="14.33203125" customWidth="1"/>
    <col min="50" max="50" width="19.6640625" customWidth="1"/>
    <col min="51" max="51" width="11.77734375" hidden="1" customWidth="1"/>
    <col min="52" max="52" width="12.5546875" hidden="1" customWidth="1"/>
    <col min="53" max="55" width="0" hidden="1" customWidth="1"/>
    <col min="56" max="56" width="16.88671875" customWidth="1"/>
    <col min="57" max="57" width="13.5546875" customWidth="1"/>
    <col min="58" max="58" width="13.44140625" hidden="1" customWidth="1"/>
    <col min="59" max="59" width="14.33203125" hidden="1" customWidth="1"/>
    <col min="60" max="60" width="13.77734375" hidden="1" customWidth="1"/>
    <col min="61" max="61" width="15.5546875" hidden="1" customWidth="1"/>
    <col min="62" max="62" width="12.77734375" customWidth="1"/>
    <col min="63" max="63" width="14.77734375" hidden="1" customWidth="1"/>
    <col min="64" max="64" width="15.33203125" hidden="1" customWidth="1"/>
    <col min="65" max="65" width="17.33203125" customWidth="1"/>
    <col min="68" max="68" width="12.6640625" customWidth="1"/>
  </cols>
  <sheetData>
    <row r="1" spans="1:191" ht="27.6" customHeight="1" x14ac:dyDescent="0.3">
      <c r="A1" s="1">
        <f>COUNTA(A4:A50000)</f>
        <v>9</v>
      </c>
      <c r="B1" s="1">
        <f>COUNTIF(B4:B50000,"Ya")</f>
        <v>0</v>
      </c>
      <c r="G1" s="1">
        <v>4</v>
      </c>
      <c r="BY1" s="1"/>
      <c r="BZ1" s="1"/>
      <c r="CA1" s="1">
        <f t="shared" ref="CA1:DT1" si="0">SUM(CA4:CA50000)</f>
        <v>0</v>
      </c>
      <c r="CB1" s="1">
        <f t="shared" si="0"/>
        <v>0</v>
      </c>
      <c r="CC1" s="1">
        <f t="shared" si="0"/>
        <v>0</v>
      </c>
      <c r="CD1" s="1">
        <f t="shared" si="0"/>
        <v>0</v>
      </c>
      <c r="CE1" s="1">
        <f t="shared" si="0"/>
        <v>0</v>
      </c>
      <c r="CF1" s="1">
        <f t="shared" si="0"/>
        <v>0</v>
      </c>
      <c r="CG1" s="1">
        <f t="shared" si="0"/>
        <v>0</v>
      </c>
      <c r="CH1" s="1">
        <f t="shared" si="0"/>
        <v>0</v>
      </c>
      <c r="CI1" s="1">
        <f t="shared" si="0"/>
        <v>0</v>
      </c>
      <c r="CJ1" s="1">
        <f t="shared" si="0"/>
        <v>0</v>
      </c>
      <c r="CK1" s="1">
        <f t="shared" si="0"/>
        <v>0</v>
      </c>
      <c r="CL1" s="1">
        <f t="shared" si="0"/>
        <v>0</v>
      </c>
      <c r="CM1" s="1">
        <f t="shared" si="0"/>
        <v>0</v>
      </c>
      <c r="CN1" s="1">
        <f t="shared" si="0"/>
        <v>0</v>
      </c>
      <c r="CO1" s="1">
        <f t="shared" si="0"/>
        <v>0</v>
      </c>
      <c r="CP1" s="1">
        <f t="shared" si="0"/>
        <v>0</v>
      </c>
      <c r="CQ1" s="1">
        <f t="shared" si="0"/>
        <v>0</v>
      </c>
      <c r="CR1" s="1">
        <f t="shared" si="0"/>
        <v>0</v>
      </c>
      <c r="CS1" s="1">
        <f t="shared" si="0"/>
        <v>0</v>
      </c>
      <c r="CT1" s="1">
        <f t="shared" si="0"/>
        <v>0</v>
      </c>
      <c r="CU1" s="1">
        <f t="shared" si="0"/>
        <v>0</v>
      </c>
      <c r="CV1" s="1">
        <f t="shared" si="0"/>
        <v>0</v>
      </c>
      <c r="CW1" s="1">
        <f t="shared" si="0"/>
        <v>0</v>
      </c>
      <c r="CX1" s="1">
        <f t="shared" si="0"/>
        <v>0</v>
      </c>
      <c r="CY1" s="1">
        <f t="shared" si="0"/>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f t="shared" si="0"/>
        <v>0</v>
      </c>
      <c r="DU1" s="1"/>
      <c r="DV1" s="1"/>
      <c r="DW1" s="1"/>
      <c r="DX1" s="1"/>
      <c r="DY1" s="1"/>
      <c r="DZ1" s="1">
        <f>SUM(EA1:FZ1)</f>
        <v>0</v>
      </c>
      <c r="EA1" s="1">
        <f t="shared" ref="EA1:FT1" si="1">SUM(EA4:EA50000)</f>
        <v>0</v>
      </c>
      <c r="EB1" s="1">
        <f t="shared" si="1"/>
        <v>0</v>
      </c>
      <c r="EC1" s="1">
        <f t="shared" si="1"/>
        <v>0</v>
      </c>
      <c r="ED1" s="1">
        <f t="shared" si="1"/>
        <v>0</v>
      </c>
      <c r="EE1" s="1">
        <f t="shared" si="1"/>
        <v>0</v>
      </c>
      <c r="EF1" s="1">
        <f t="shared" si="1"/>
        <v>0</v>
      </c>
      <c r="EG1" s="1">
        <f t="shared" si="1"/>
        <v>0</v>
      </c>
      <c r="EH1" s="1">
        <f t="shared" si="1"/>
        <v>0</v>
      </c>
      <c r="EI1" s="1">
        <f t="shared" si="1"/>
        <v>0</v>
      </c>
      <c r="EJ1" s="1">
        <f t="shared" si="1"/>
        <v>0</v>
      </c>
      <c r="EK1" s="1">
        <f t="shared" si="1"/>
        <v>0</v>
      </c>
      <c r="EL1" s="1">
        <f t="shared" si="1"/>
        <v>0</v>
      </c>
      <c r="EM1" s="1">
        <f t="shared" si="1"/>
        <v>0</v>
      </c>
      <c r="EN1" s="1">
        <f t="shared" si="1"/>
        <v>0</v>
      </c>
      <c r="EO1" s="1">
        <f t="shared" si="1"/>
        <v>0</v>
      </c>
      <c r="EP1" s="1">
        <f t="shared" si="1"/>
        <v>0</v>
      </c>
      <c r="EQ1" s="1">
        <f t="shared" si="1"/>
        <v>0</v>
      </c>
      <c r="ER1" s="1">
        <f t="shared" si="1"/>
        <v>0</v>
      </c>
      <c r="ES1" s="1">
        <f t="shared" si="1"/>
        <v>0</v>
      </c>
      <c r="ET1" s="1">
        <f t="shared" si="1"/>
        <v>0</v>
      </c>
      <c r="EU1" s="1">
        <f t="shared" si="1"/>
        <v>0</v>
      </c>
      <c r="EV1" s="1">
        <f t="shared" si="1"/>
        <v>0</v>
      </c>
      <c r="EW1" s="1">
        <f t="shared" si="1"/>
        <v>0</v>
      </c>
      <c r="EX1" s="1">
        <f t="shared" si="1"/>
        <v>0</v>
      </c>
      <c r="EY1" s="1">
        <f t="shared" si="1"/>
        <v>0</v>
      </c>
      <c r="EZ1" s="1">
        <f t="shared" si="1"/>
        <v>0</v>
      </c>
      <c r="FA1" s="1">
        <f t="shared" si="1"/>
        <v>0</v>
      </c>
      <c r="FB1" s="1">
        <f t="shared" si="1"/>
        <v>0</v>
      </c>
      <c r="FC1" s="1">
        <f t="shared" si="1"/>
        <v>0</v>
      </c>
      <c r="FD1" s="1">
        <f t="shared" si="1"/>
        <v>0</v>
      </c>
      <c r="FE1" s="1">
        <f t="shared" si="1"/>
        <v>0</v>
      </c>
      <c r="FF1" s="1">
        <f t="shared" si="1"/>
        <v>0</v>
      </c>
      <c r="FG1" s="1">
        <f t="shared" si="1"/>
        <v>0</v>
      </c>
      <c r="FH1" s="1">
        <f t="shared" si="1"/>
        <v>0</v>
      </c>
      <c r="FI1" s="1">
        <f t="shared" si="1"/>
        <v>0</v>
      </c>
      <c r="FJ1" s="1">
        <f t="shared" si="1"/>
        <v>0</v>
      </c>
      <c r="FK1" s="1">
        <f t="shared" si="1"/>
        <v>0</v>
      </c>
      <c r="FL1" s="1">
        <f t="shared" si="1"/>
        <v>0</v>
      </c>
      <c r="FM1" s="1">
        <f t="shared" si="1"/>
        <v>0</v>
      </c>
      <c r="FN1" s="1">
        <f t="shared" si="1"/>
        <v>0</v>
      </c>
      <c r="FO1" s="1">
        <f t="shared" si="1"/>
        <v>0</v>
      </c>
      <c r="FP1" s="1">
        <f t="shared" si="1"/>
        <v>0</v>
      </c>
      <c r="FQ1" s="1">
        <f t="shared" si="1"/>
        <v>0</v>
      </c>
      <c r="FR1" s="1">
        <f t="shared" si="1"/>
        <v>0</v>
      </c>
      <c r="FS1" s="1">
        <f t="shared" si="1"/>
        <v>0</v>
      </c>
      <c r="FT1" s="1">
        <f t="shared" si="1"/>
        <v>0</v>
      </c>
      <c r="FU1" s="1"/>
      <c r="FV1" s="1"/>
      <c r="FW1" s="1"/>
      <c r="FX1" s="1"/>
      <c r="FY1" s="1"/>
      <c r="FZ1" s="1"/>
      <c r="GA1" s="1"/>
      <c r="GB1" s="1"/>
      <c r="GC1" s="1"/>
      <c r="GD1" s="1"/>
      <c r="GE1" s="1"/>
      <c r="GF1" s="1"/>
      <c r="GG1" s="1"/>
      <c r="GH1" s="1"/>
      <c r="GI1" s="1"/>
    </row>
    <row r="2" spans="1:191" ht="21" x14ac:dyDescent="0.3">
      <c r="G2" s="44" t="s">
        <v>168</v>
      </c>
      <c r="H2" s="44"/>
      <c r="I2" s="44"/>
      <c r="J2" s="44"/>
      <c r="K2" s="44"/>
      <c r="L2" s="44"/>
      <c r="M2" s="44"/>
      <c r="N2" s="44"/>
      <c r="O2" s="44"/>
      <c r="P2" s="44"/>
      <c r="Q2" s="44"/>
      <c r="R2" s="44"/>
      <c r="S2" t="s">
        <v>169</v>
      </c>
      <c r="AF2" t="s">
        <v>170</v>
      </c>
      <c r="AG2" t="s">
        <v>171</v>
      </c>
      <c r="AJ2" s="44" t="s">
        <v>172</v>
      </c>
      <c r="AK2" s="44"/>
      <c r="AL2" s="44"/>
      <c r="AM2" s="44"/>
      <c r="AN2" s="44"/>
      <c r="AO2" s="44" t="s">
        <v>173</v>
      </c>
      <c r="AP2" s="44"/>
      <c r="AQ2" s="44"/>
      <c r="AR2" s="44"/>
      <c r="AS2" s="44"/>
      <c r="AT2" s="44"/>
      <c r="AU2" s="44" t="s">
        <v>174</v>
      </c>
      <c r="AV2" s="44"/>
      <c r="AW2" s="44"/>
      <c r="BE2" s="2"/>
      <c r="BF2" s="2" t="e">
        <f>VLOOKUP(MONTH(T2),month_2digit,2,FALSE)&amp;","&amp;VLOOKUP(DAY(T2),day_2digit,2,FALSE)&amp;","&amp;YEAR(T2)</f>
        <v>#N/A</v>
      </c>
      <c r="BG2" s="2" t="e">
        <f>VLOOKUP(MONTH(U2),month_2digit,2,FALSE)&amp;","&amp;VLOOKUP(DAY(U2),day_2digit,2,FALSE)&amp;","&amp;YEAR(U2)</f>
        <v>#N/A</v>
      </c>
      <c r="BH2" s="2" t="e">
        <f>VLOOKUP(MONTH(X2),month_2digit,2,FALSE)&amp;","&amp;VLOOKUP(DAY(X2),day_2digit,2,FALSE)&amp;","&amp;YEAR(X2)</f>
        <v>#N/A</v>
      </c>
      <c r="BI2" s="2" t="e">
        <f>VLOOKUP(MONTH(Y2),month_2digit,2,FALSE)&amp;","&amp;VLOOKUP(DAY(Y2),day_2digit,2,FALSE)&amp;","&amp;YEAR(Y2)</f>
        <v>#N/A</v>
      </c>
      <c r="BJ2" s="2" t="e">
        <f>IF(AND(format_date=TRUE,format_date_chrome="en-US"),VLOOKUP(MONTH(AX2),month_2digit,2,FALSE)&amp;","&amp;VLOOKUP(DAY(AX2),day_2digit,2,FALSE)&amp;","&amp;YEAR(AX2),IF(AND(format_date=TRUE,format_date_chrome="idS"),VLOOKUP(DAY(AX2),day_2digit,2,FALSE)&amp;","&amp;VLOOKUP(MONTH(AX2),month_2digit,2,FALSE)&amp;","&amp;YEAR(AX2),VLOOKUP(DAY(AX2),day_2digit,2,FALSE)&amp;","&amp;VLOOKUP(MONTH(AX2),month_2digit,2,FALSE)&amp;","&amp;YEAR(AX2)))</f>
        <v>#N/A</v>
      </c>
      <c r="BK2" s="2" t="e">
        <f>VLOOKUP(MONTH(AY2),month_2digit,2,FALSE)&amp;","&amp;VLOOKUP(DAY(AY2),day_2digit,2,FALSE)&amp;","&amp;YEAR(AY2)</f>
        <v>#N/A</v>
      </c>
      <c r="BL2" s="2" t="e">
        <f>VLOOKUP(MONTH(AZ2),month_2digit,2,FALSE)&amp;","&amp;VLOOKUP(DAY(AZ2),day_2digit,2,FALSE)&amp;","&amp;YEAR(AZ2)</f>
        <v>#N/A</v>
      </c>
      <c r="BM2" s="2" t="e">
        <f>YEAR(D2)&amp;"-"&amp;VLOOKUP(MONTH(D2),month_2digit,2,FALSE)&amp;"-"&amp;VLOOKUP(DAY(D2),day_2digit,2,FALSE)</f>
        <v>#N/A</v>
      </c>
      <c r="BN2" s="12"/>
      <c r="BY2" s="1"/>
      <c r="BZ2" s="1"/>
      <c r="CA2" s="1">
        <f>IF($B2&lt;&gt;"Ya",0,IF(COUNTIFS('Daftar Kunjungan'!$D$4:$D$50000,C2,'Daftar Kunjungan'!$F$4:$F$50000,D2)&gt;0,0,1))</f>
        <v>0</v>
      </c>
      <c r="CB2" s="1">
        <f>IF($B2&lt;&gt;"Ya",0,IF(F2="",1,0))</f>
        <v>0</v>
      </c>
      <c r="CC2" s="1">
        <f>IF($B2&lt;&gt;"Ya",0,IF(G2="",0,IFERROR(VLOOKUP(G2,admin_prep!$M$2:$N$3,2,FALSE),1)))</f>
        <v>0</v>
      </c>
      <c r="CD2" s="1">
        <f>IF($B2&lt;&gt;"Ya",0,IF($G2&lt;&gt;"Ya",0,IF(H2="",0,IFERROR(VLOOKUP(H2,admin_prep!$M$2:$N$3,2,FALSE),1))))</f>
        <v>0</v>
      </c>
      <c r="CE2" s="1">
        <f>IF($B2&lt;&gt;"Ya",0,IF($G2&lt;&gt;"Ya",0,IF(I2="",0,IFERROR(VLOOKUP(I2,admin_prep!$M$2:$N$3,2,FALSE),1))))</f>
        <v>0</v>
      </c>
      <c r="CF2" s="1">
        <f>IF($B2&lt;&gt;"Ya",0,IF($G2&lt;&gt;"Ya",0,IF(J2="",0,IFERROR(VLOOKUP(J2,admin_prep!$M$2:$N$3,2,FALSE),1))))</f>
        <v>0</v>
      </c>
      <c r="CG2" s="1">
        <f>IF($B2&lt;&gt;"Ya",0,IF($G2&lt;&gt;"Ya",0,IF(K2="",0,IFERROR(VLOOKUP(K2,admin_prep!$M$2:$N$3,2,FALSE),1))))</f>
        <v>0</v>
      </c>
      <c r="CH2" s="1">
        <f>IF($B2&lt;&gt;"Ya",0,IF($G2&lt;&gt;"Ya",0,IF(L2="",0,IFERROR(VLOOKUP(L2,admin_prep!$M$2:$N$3,2,FALSE),1))))</f>
        <v>0</v>
      </c>
      <c r="CI2" s="1">
        <f>IF($B2&lt;&gt;"Ya",0,IF($G2&lt;&gt;"Ya",0,IF(M2="",0,IFERROR(VLOOKUP(M2,admin_prep!$M$2:$N$3,2,FALSE),1))))</f>
        <v>0</v>
      </c>
      <c r="CJ2" s="1">
        <f>IF($B2&lt;&gt;"Ya",0,IF($G2&lt;&gt;"Ya",0,IF(N2="",0,IFERROR(VLOOKUP(N2,admin_prep!$M$2:$N$3,2,FALSE),1))))</f>
        <v>0</v>
      </c>
      <c r="CK2" s="1">
        <f>IF($B2&lt;&gt;"Ya",0,IF($G2&lt;&gt;"Ya",0,IF(O2="",0,IFERROR(VLOOKUP(O2,admin_prep!$M$2:$N$3,2,FALSE),1))))</f>
        <v>0</v>
      </c>
      <c r="CL2" s="1">
        <f>IF($B2&lt;&gt;"Ya",0,IF($G2&lt;&gt;"Ya",0,IF(P2="",0,IFERROR(VLOOKUP(P2,admin_prep!$M$2:$N$3,2,FALSE),1))))</f>
        <v>0</v>
      </c>
      <c r="CM2" s="1">
        <f>IF($B2&lt;&gt;"Ya",0,IF($G2&lt;&gt;"Ya",0,IF(Q2="",0,IFERROR(VLOOKUP(Q2,admin_prep!$M$2:$N$3,2,FALSE),1))))</f>
        <v>0</v>
      </c>
      <c r="CN2" s="1">
        <f>IF($B2&lt;&gt;"Ya",0,IF($G2&lt;&gt;"Ya",0,IF(R2="",0,IFERROR(VLOOKUP(R2,admin_prep!$M$2:$N$3,2,FALSE),1))))</f>
        <v>0</v>
      </c>
      <c r="CO2" s="1"/>
      <c r="CP2" s="1"/>
      <c r="CQ2" s="1"/>
      <c r="CR2" s="1"/>
      <c r="CS2" s="1"/>
      <c r="CT2" s="1"/>
      <c r="CU2" s="1"/>
      <c r="CV2" s="1"/>
      <c r="CW2" s="1"/>
      <c r="CX2" s="1"/>
      <c r="CY2" s="1"/>
      <c r="CZ2" s="1"/>
      <c r="DA2" s="1"/>
      <c r="DB2" s="1"/>
      <c r="DC2" s="1"/>
      <c r="DD2" s="1"/>
      <c r="DE2" s="1"/>
      <c r="DF2" s="1"/>
      <c r="DG2" s="1">
        <f>IF($B2&lt;&gt;"Ya",0,IF(AK2="",0,IF(AND(AK2&lt;90,AK2&gt;=0),0,1)))</f>
        <v>0</v>
      </c>
      <c r="DH2" s="1">
        <f>IF($B2&lt;&gt;"Ya",0,IF(AL2="",0,IF(AND(AL2&lt;25,AL2&gt;=0),0,1)))</f>
        <v>0</v>
      </c>
      <c r="DI2" s="1"/>
      <c r="DJ2" s="1"/>
      <c r="DK2" s="1">
        <f>IF($B2&lt;&gt;"Ya",0,IF(AO2="",0,IFERROR(VLOOKUP(AO2,admin_prep!$M$2:$N$3,2,FALSE),1)))</f>
        <v>0</v>
      </c>
      <c r="DL2" s="1">
        <f>IF($B2&lt;&gt;"Ya",0,IF(AP2="",0,IFERROR(VLOOKUP(AP2,admin_prep!$AQ$2:$AR$3,2,FALSE),1)))</f>
        <v>0</v>
      </c>
      <c r="DM2" s="1">
        <f>IF($B2&lt;&gt;"Ya",0,IF(AQ2="",0,IFERROR(VLOOKUP(AQ2,admin_prep!$AM$2:$AR$3,6,FALSE),1)))</f>
        <v>0</v>
      </c>
      <c r="DN2" s="1"/>
      <c r="DO2" s="1">
        <f>IF($B2&lt;&gt;"Ya",0,IF(AS2="",0,IFERROR(VLOOKUP(AS2,admin_prep!$AF$2:$AR$8,12,FALSE),1)))</f>
        <v>0</v>
      </c>
      <c r="DP2" s="1"/>
      <c r="DQ2" s="1">
        <f>IF($B2&lt;&gt;"Ya",0,IF(AU2="",0,IFERROR(VLOOKUP(AU2,admin_prep!$M$2:$N$3,2,FALSE),1)))</f>
        <v>0</v>
      </c>
      <c r="DR2" s="1">
        <f>IF($B2&lt;&gt;"Ya",0,IF(AV2="",0,IFERROR(VLOOKUP(AV2,admin_prep!$M$2:$N$3,2,FALSE),1)))</f>
        <v>0</v>
      </c>
      <c r="DS2" s="1">
        <f>IF($B2&lt;&gt;"Ya",0,IF(AW2="",0,IFERROR(VLOOKUP(AW2,admin_prep!$M$2:$N$3,2,FALSE),1)))</f>
        <v>0</v>
      </c>
      <c r="DT2" s="1">
        <f>IF($B2&lt;&gt;"Ya",0,IF(AX2="",0,IFERROR(VLOOKUP(MONTH(AX2),admin_prep!$A$2:$C$13,3,FALSE),1)))</f>
        <v>0</v>
      </c>
      <c r="DU2" s="1"/>
      <c r="DV2" s="1"/>
      <c r="DW2" s="1"/>
      <c r="DX2" s="1"/>
      <c r="DY2" s="1"/>
      <c r="DZ2" s="1"/>
      <c r="EA2" s="1">
        <f>IF(COUNTIFS('Daftar Kunjungan'!$D$4:$D$50000,C2,'Daftar Kunjungan'!$F$4:$F$50000,D2)&gt;0,0,1)</f>
        <v>1</v>
      </c>
      <c r="EB2" s="1">
        <f>IF(F2="",1,0)</f>
        <v>1</v>
      </c>
      <c r="EC2" s="1">
        <f>IF(G2="",0,IFERROR(VLOOKUP(G2,admin_prep!$M$2:$N$3,2,FALSE),1))</f>
        <v>1</v>
      </c>
      <c r="ED2" s="1">
        <f>IF($G2&lt;&gt;"Ya",0,IF(H2="",0,IFERROR(VLOOKUP(H2,admin_prep!$M$2:$N$3,2,FALSE),1)))</f>
        <v>0</v>
      </c>
      <c r="EE2" s="1">
        <f>IF($G2&lt;&gt;"Ya",0,IF(I2="",0,IFERROR(VLOOKUP(I2,admin_prep!$M$2:$N$3,2,FALSE),1)))</f>
        <v>0</v>
      </c>
      <c r="EF2" s="1">
        <f>IF($G2&lt;&gt;"Ya",0,IF(J2="",0,IFERROR(VLOOKUP(J2,admin_prep!$M$2:$N$3,2,FALSE),1)))</f>
        <v>0</v>
      </c>
      <c r="EG2" s="1">
        <f>IF($G2&lt;&gt;"Ya",0,IF(K2="",0,IFERROR(VLOOKUP(K2,admin_prep!$M$2:$N$3,2,FALSE),1)))</f>
        <v>0</v>
      </c>
      <c r="EH2" s="1">
        <f>IF($G2&lt;&gt;"Ya",0,IF(L2="",0,IFERROR(VLOOKUP(L2,admin_prep!$M$2:$N$3,2,FALSE),1)))</f>
        <v>0</v>
      </c>
      <c r="EI2" s="1">
        <f>IF($G2&lt;&gt;"Ya",0,IF(M2="",0,IFERROR(VLOOKUP(M2,admin_prep!$M$2:$N$3,2,FALSE),1)))</f>
        <v>0</v>
      </c>
      <c r="EJ2" s="1">
        <f>IF($G2&lt;&gt;"Ya",0,IF(N2="",0,IFERROR(VLOOKUP(N2,admin_prep!$M$2:$N$3,2,FALSE),1)))</f>
        <v>0</v>
      </c>
      <c r="EK2" s="1">
        <f>IF($G2&lt;&gt;"Ya",0,IF(O2="",0,IFERROR(VLOOKUP(O2,admin_prep!$M$2:$N$3,2,FALSE),1)))</f>
        <v>0</v>
      </c>
      <c r="EL2" s="1">
        <f>IF($G2&lt;&gt;"Ya",0,IF(P2="",0,IFERROR(VLOOKUP(P2,admin_prep!$M$2:$N$3,2,FALSE),1)))</f>
        <v>0</v>
      </c>
      <c r="EM2" s="1">
        <f>IF($G2&lt;&gt;"Ya",0,IF(Q2="",0,IFERROR(VLOOKUP(Q2,admin_prep!$M$2:$N$3,2,FALSE),1)))</f>
        <v>0</v>
      </c>
      <c r="EN2" s="1">
        <f>IF($G2&lt;&gt;"Ya",0,IF(R2="",0,IFERROR(VLOOKUP(R2,admin_prep!$M$2:$N$3,2,FALSE),1)))</f>
        <v>0</v>
      </c>
      <c r="EO2" s="1"/>
      <c r="EP2" s="1"/>
      <c r="EQ2" s="1"/>
      <c r="ER2" s="1"/>
      <c r="ES2" s="1"/>
      <c r="ET2" s="1"/>
      <c r="EU2" s="1"/>
      <c r="EV2" s="1"/>
      <c r="EW2" s="1"/>
      <c r="EX2" s="1"/>
      <c r="EY2" s="1"/>
      <c r="EZ2" s="1"/>
      <c r="FA2" s="1"/>
      <c r="FB2" s="1"/>
      <c r="FC2" s="1"/>
      <c r="FD2" s="1"/>
      <c r="FE2" s="1"/>
      <c r="FF2" s="1"/>
      <c r="FG2" s="1">
        <f>IF(AK2="",0,IF(AND(AK2&lt;90,AK2&gt;=0),0,1))</f>
        <v>0</v>
      </c>
      <c r="FH2" s="1">
        <f>IF(AL2="",0,IF(AND(AL2&lt;25,AL2&gt;=0),0,1))</f>
        <v>0</v>
      </c>
      <c r="FI2" s="1"/>
      <c r="FJ2" s="1"/>
      <c r="FK2" s="1">
        <f>IF(AO2="",0,IFERROR(VLOOKUP(AO2,admin_prep!$M$2:$N$3,2,FALSE),1))</f>
        <v>1</v>
      </c>
      <c r="FL2" s="1">
        <f>IF(AP2="",0,IFERROR(VLOOKUP(AP2,admin_prep!$AQ$2:$AR$3,2,FALSE),1))</f>
        <v>0</v>
      </c>
      <c r="FM2" s="1">
        <f>IF(AQ2="",0,IFERROR(VLOOKUP(AQ2,admin_prep!$AM$2:$AR$3,6,FALSE),1))</f>
        <v>0</v>
      </c>
      <c r="FN2" s="1"/>
      <c r="FO2" s="1">
        <f>IF(AS2="",0,IFERROR(VLOOKUP(AS2,admin_prep!$AF$2:$AR$8,12,FALSE),1))</f>
        <v>0</v>
      </c>
      <c r="FP2" s="1"/>
      <c r="FQ2" s="1">
        <f>IF(AU2="",0,IFERROR(VLOOKUP(AU2,admin_prep!$M$2:$N$3,2,FALSE),1))</f>
        <v>1</v>
      </c>
      <c r="FR2" s="1">
        <f>IF(AV2="",0,IFERROR(VLOOKUP(AV2,admin_prep!$M$2:$N$3,2,FALSE),1))</f>
        <v>0</v>
      </c>
      <c r="FS2" s="1">
        <f>IF(AW2="",0,IFERROR(VLOOKUP(AW2,admin_prep!$M$2:$N$3,2,FALSE),1))</f>
        <v>0</v>
      </c>
      <c r="FT2" s="1">
        <f>IF(AX2="",0,IFERROR(VLOOKUP(MONTH(AX2),admin_prep!$A$2:$C$13,3,FALSE),1))</f>
        <v>0</v>
      </c>
      <c r="FU2" s="1"/>
      <c r="FV2" s="1"/>
      <c r="FW2" s="1"/>
      <c r="FX2" s="1"/>
      <c r="FY2" s="1"/>
      <c r="FZ2" s="1"/>
      <c r="GA2" s="1"/>
      <c r="GB2" s="1"/>
      <c r="GC2" s="1"/>
      <c r="GD2" s="1"/>
      <c r="GE2" s="1"/>
      <c r="GF2" s="1"/>
      <c r="GG2" s="1"/>
      <c r="GH2" s="1"/>
      <c r="GI2" s="1"/>
    </row>
    <row r="3" spans="1:191" ht="83.4" customHeight="1" x14ac:dyDescent="0.3">
      <c r="A3" s="30" t="s">
        <v>0</v>
      </c>
      <c r="B3" s="30" t="s">
        <v>1</v>
      </c>
      <c r="C3" s="30" t="s">
        <v>8</v>
      </c>
      <c r="D3" s="30" t="s">
        <v>20</v>
      </c>
      <c r="E3" s="30"/>
      <c r="F3" s="30" t="s">
        <v>42</v>
      </c>
      <c r="G3" s="11" t="s">
        <v>311</v>
      </c>
      <c r="H3" s="11" t="s">
        <v>178</v>
      </c>
      <c r="I3" s="11" t="s">
        <v>307</v>
      </c>
      <c r="J3" s="11" t="s">
        <v>306</v>
      </c>
      <c r="K3" s="11" t="s">
        <v>181</v>
      </c>
      <c r="L3" s="11" t="s">
        <v>182</v>
      </c>
      <c r="M3" s="11" t="s">
        <v>183</v>
      </c>
      <c r="N3" s="11" t="s">
        <v>184</v>
      </c>
      <c r="O3" s="11" t="s">
        <v>185</v>
      </c>
      <c r="P3" s="11" t="s">
        <v>186</v>
      </c>
      <c r="Q3" s="11" t="s">
        <v>187</v>
      </c>
      <c r="R3" s="11" t="s">
        <v>188</v>
      </c>
      <c r="S3" s="11"/>
      <c r="T3" s="11"/>
      <c r="U3" s="11"/>
      <c r="V3" s="11"/>
      <c r="W3" s="11"/>
      <c r="X3" s="11"/>
      <c r="Y3" s="11"/>
      <c r="Z3" s="11"/>
      <c r="AA3" s="11"/>
      <c r="AB3" s="11"/>
      <c r="AC3" s="11"/>
      <c r="AD3" s="11"/>
      <c r="AE3" s="11"/>
      <c r="AF3" s="11"/>
      <c r="AG3" s="11"/>
      <c r="AH3" s="11"/>
      <c r="AI3" s="11"/>
      <c r="AJ3" s="11" t="s">
        <v>205</v>
      </c>
      <c r="AK3" s="11" t="s">
        <v>206</v>
      </c>
      <c r="AL3" s="11" t="s">
        <v>207</v>
      </c>
      <c r="AM3" s="11" t="s">
        <v>208</v>
      </c>
      <c r="AN3" s="11" t="s">
        <v>209</v>
      </c>
      <c r="AO3" s="11" t="s">
        <v>210</v>
      </c>
      <c r="AP3" s="11" t="s">
        <v>211</v>
      </c>
      <c r="AQ3" s="11" t="s">
        <v>212</v>
      </c>
      <c r="AR3" s="11" t="s">
        <v>66</v>
      </c>
      <c r="AS3" s="11" t="s">
        <v>213</v>
      </c>
      <c r="AT3" s="11" t="s">
        <v>214</v>
      </c>
      <c r="AU3" s="11" t="s">
        <v>215</v>
      </c>
      <c r="AV3" s="11" t="s">
        <v>216</v>
      </c>
      <c r="AW3" s="11" t="s">
        <v>217</v>
      </c>
      <c r="AX3" s="11" t="s">
        <v>218</v>
      </c>
      <c r="AY3" s="11"/>
      <c r="AZ3" s="11"/>
      <c r="BA3" s="11"/>
      <c r="BB3" s="11"/>
      <c r="BC3" s="11"/>
      <c r="BD3" s="11" t="s">
        <v>224</v>
      </c>
      <c r="BE3" s="32" t="s">
        <v>6</v>
      </c>
      <c r="BF3" s="31" t="s">
        <v>225</v>
      </c>
      <c r="BG3" s="31" t="s">
        <v>226</v>
      </c>
      <c r="BH3" s="31" t="s">
        <v>227</v>
      </c>
      <c r="BI3" s="31" t="s">
        <v>228</v>
      </c>
      <c r="BJ3" s="31" t="s">
        <v>229</v>
      </c>
      <c r="BK3" s="31" t="s">
        <v>230</v>
      </c>
      <c r="BL3" s="31" t="s">
        <v>231</v>
      </c>
      <c r="BM3" s="31" t="s">
        <v>232</v>
      </c>
      <c r="BN3" s="33" t="s">
        <v>80</v>
      </c>
      <c r="BY3" s="1"/>
      <c r="BZ3" s="1"/>
      <c r="CA3" s="1" t="s">
        <v>94</v>
      </c>
      <c r="CB3" s="1" t="s">
        <v>42</v>
      </c>
      <c r="CC3" s="1" t="s">
        <v>177</v>
      </c>
      <c r="CD3" s="1" t="s">
        <v>178</v>
      </c>
      <c r="CE3" s="1" t="s">
        <v>179</v>
      </c>
      <c r="CF3" s="1" t="s">
        <v>180</v>
      </c>
      <c r="CG3" s="1" t="s">
        <v>181</v>
      </c>
      <c r="CH3" s="1" t="s">
        <v>182</v>
      </c>
      <c r="CI3" s="1" t="s">
        <v>183</v>
      </c>
      <c r="CJ3" s="1" t="s">
        <v>184</v>
      </c>
      <c r="CK3" s="1" t="s">
        <v>185</v>
      </c>
      <c r="CL3" s="1" t="s">
        <v>186</v>
      </c>
      <c r="CM3" s="1" t="s">
        <v>187</v>
      </c>
      <c r="CN3" s="1" t="s">
        <v>188</v>
      </c>
      <c r="CO3" s="1"/>
      <c r="CP3" s="1"/>
      <c r="CQ3" s="1"/>
      <c r="CR3" s="1"/>
      <c r="CS3" s="1"/>
      <c r="CT3" s="1"/>
      <c r="CU3" s="1"/>
      <c r="CV3" s="1"/>
      <c r="CW3" s="1"/>
      <c r="CX3" s="1"/>
      <c r="CY3" s="1"/>
      <c r="CZ3" s="1"/>
      <c r="DA3" s="1"/>
      <c r="DB3" s="1"/>
      <c r="DC3" s="1"/>
      <c r="DD3" s="1"/>
      <c r="DE3" s="1"/>
      <c r="DF3" s="1" t="s">
        <v>205</v>
      </c>
      <c r="DG3" s="1" t="s">
        <v>206</v>
      </c>
      <c r="DH3" s="1" t="s">
        <v>207</v>
      </c>
      <c r="DI3" s="1" t="s">
        <v>208</v>
      </c>
      <c r="DJ3" s="1" t="s">
        <v>209</v>
      </c>
      <c r="DK3" s="1" t="s">
        <v>210</v>
      </c>
      <c r="DL3" s="1" t="s">
        <v>211</v>
      </c>
      <c r="DM3" s="1" t="s">
        <v>212</v>
      </c>
      <c r="DN3" s="1" t="s">
        <v>234</v>
      </c>
      <c r="DO3" s="1" t="s">
        <v>213</v>
      </c>
      <c r="DP3" s="1" t="s">
        <v>214</v>
      </c>
      <c r="DQ3" s="1" t="s">
        <v>215</v>
      </c>
      <c r="DR3" s="1" t="s">
        <v>216</v>
      </c>
      <c r="DS3" s="1" t="s">
        <v>217</v>
      </c>
      <c r="DT3" s="1" t="s">
        <v>218</v>
      </c>
      <c r="DU3" s="1"/>
      <c r="DV3" s="1"/>
      <c r="DW3" s="1"/>
      <c r="DX3" s="1"/>
      <c r="DY3" s="1"/>
      <c r="DZ3" s="1"/>
      <c r="EA3" s="1" t="s">
        <v>94</v>
      </c>
      <c r="EB3" s="1" t="s">
        <v>42</v>
      </c>
      <c r="EC3" s="1" t="s">
        <v>177</v>
      </c>
      <c r="ED3" s="1" t="s">
        <v>178</v>
      </c>
      <c r="EE3" s="1" t="s">
        <v>179</v>
      </c>
      <c r="EF3" s="1" t="s">
        <v>180</v>
      </c>
      <c r="EG3" s="1" t="s">
        <v>181</v>
      </c>
      <c r="EH3" s="1" t="s">
        <v>182</v>
      </c>
      <c r="EI3" s="1" t="s">
        <v>183</v>
      </c>
      <c r="EJ3" s="1" t="s">
        <v>184</v>
      </c>
      <c r="EK3" s="1" t="s">
        <v>185</v>
      </c>
      <c r="EL3" s="1" t="s">
        <v>186</v>
      </c>
      <c r="EM3" s="1" t="s">
        <v>187</v>
      </c>
      <c r="EN3" s="1" t="s">
        <v>188</v>
      </c>
      <c r="EO3" s="1"/>
      <c r="EP3" s="1"/>
      <c r="EQ3" s="1"/>
      <c r="ER3" s="1"/>
      <c r="ES3" s="1"/>
      <c r="ET3" s="1"/>
      <c r="EU3" s="1"/>
      <c r="EV3" s="1"/>
      <c r="EW3" s="1"/>
      <c r="EX3" s="1"/>
      <c r="EY3" s="1"/>
      <c r="EZ3" s="1"/>
      <c r="FA3" s="1"/>
      <c r="FB3" s="1"/>
      <c r="FC3" s="1"/>
      <c r="FD3" s="1"/>
      <c r="FE3" s="1"/>
      <c r="FF3" s="1" t="s">
        <v>205</v>
      </c>
      <c r="FG3" s="1" t="s">
        <v>206</v>
      </c>
      <c r="FH3" s="1" t="s">
        <v>207</v>
      </c>
      <c r="FI3" s="1" t="s">
        <v>208</v>
      </c>
      <c r="FJ3" s="1" t="s">
        <v>209</v>
      </c>
      <c r="FK3" s="1" t="s">
        <v>210</v>
      </c>
      <c r="FL3" s="1" t="s">
        <v>211</v>
      </c>
      <c r="FM3" s="1" t="s">
        <v>212</v>
      </c>
      <c r="FN3" s="1" t="s">
        <v>234</v>
      </c>
      <c r="FO3" s="1" t="s">
        <v>213</v>
      </c>
      <c r="FP3" s="1" t="s">
        <v>214</v>
      </c>
      <c r="FQ3" s="1" t="s">
        <v>215</v>
      </c>
      <c r="FR3" s="1" t="s">
        <v>216</v>
      </c>
      <c r="FS3" s="1" t="s">
        <v>217</v>
      </c>
      <c r="FT3" s="1" t="s">
        <v>218</v>
      </c>
      <c r="FU3" s="1"/>
      <c r="FV3" s="1"/>
      <c r="FW3" s="1"/>
      <c r="FX3" s="1"/>
      <c r="FY3" s="1"/>
      <c r="FZ3" s="1"/>
      <c r="GA3" s="1"/>
      <c r="GB3" s="1"/>
      <c r="GC3" s="1"/>
      <c r="GD3" s="1"/>
      <c r="GE3" s="1"/>
      <c r="GF3" s="1"/>
      <c r="GG3" s="1"/>
      <c r="GH3" s="1"/>
      <c r="GI3" s="1"/>
    </row>
    <row r="4" spans="1:191" x14ac:dyDescent="0.3">
      <c r="A4" s="34">
        <v>1</v>
      </c>
      <c r="B4" s="4"/>
      <c r="C4" s="4"/>
      <c r="D4" s="8"/>
      <c r="E4" s="9"/>
      <c r="F4" s="9"/>
      <c r="G4" s="4"/>
      <c r="H4" s="4"/>
      <c r="I4" s="4"/>
      <c r="J4" s="4"/>
      <c r="K4" s="4"/>
      <c r="L4" s="4"/>
      <c r="M4" s="4"/>
      <c r="N4" s="4"/>
      <c r="O4" s="4"/>
      <c r="P4" s="4"/>
      <c r="Q4" s="4"/>
      <c r="R4" s="4"/>
      <c r="S4" s="9"/>
      <c r="T4" s="8"/>
      <c r="U4" s="8"/>
      <c r="V4" s="9"/>
      <c r="W4" s="9"/>
      <c r="X4" s="8"/>
      <c r="Y4" s="8"/>
      <c r="Z4" s="9"/>
      <c r="AA4" s="4"/>
      <c r="AB4" s="4"/>
      <c r="AC4" s="9"/>
      <c r="AD4" s="9"/>
      <c r="AE4" s="9"/>
      <c r="AF4" s="9"/>
      <c r="AG4" s="9"/>
      <c r="AH4" s="9"/>
      <c r="AI4" s="9"/>
      <c r="AJ4" s="9"/>
      <c r="AK4" s="9"/>
      <c r="AL4" s="9"/>
      <c r="AM4" s="9"/>
      <c r="AN4" s="9"/>
      <c r="AO4" s="4"/>
      <c r="AP4" s="4"/>
      <c r="AQ4" s="4"/>
      <c r="AR4" s="9"/>
      <c r="AS4" s="9"/>
      <c r="AT4" s="9"/>
      <c r="AU4" s="4"/>
      <c r="AV4" s="4"/>
      <c r="AW4" s="4"/>
      <c r="AX4" s="8"/>
      <c r="AY4" s="8"/>
      <c r="AZ4" s="8"/>
      <c r="BA4" s="13"/>
      <c r="BB4" s="9"/>
      <c r="BC4" s="9"/>
      <c r="BD4" s="9"/>
      <c r="BE4" s="2"/>
      <c r="BF4" s="2"/>
      <c r="BG4" s="2"/>
      <c r="BH4" s="2"/>
      <c r="BI4" s="2"/>
      <c r="BJ4" s="2"/>
      <c r="BK4" s="2"/>
      <c r="BL4" s="2"/>
      <c r="BM4" s="2"/>
      <c r="BN4" s="2"/>
      <c r="BP4" s="14"/>
      <c r="BY4" s="1"/>
      <c r="BZ4" s="1"/>
      <c r="DU4" s="1"/>
      <c r="DV4" s="1"/>
      <c r="DW4" s="1"/>
      <c r="DX4" s="1"/>
      <c r="DY4" s="1"/>
      <c r="DZ4" s="1"/>
      <c r="FU4" s="1"/>
      <c r="FV4" s="1"/>
      <c r="FW4" s="1"/>
      <c r="FX4" s="1"/>
      <c r="FY4" s="1"/>
      <c r="FZ4" s="1"/>
      <c r="GA4" s="1"/>
      <c r="GB4" s="1"/>
      <c r="GC4" s="1"/>
      <c r="GD4" s="1"/>
      <c r="GE4" s="1"/>
      <c r="GF4" s="1"/>
      <c r="GG4" s="1"/>
      <c r="GH4" s="1"/>
      <c r="GI4" s="1"/>
    </row>
    <row r="5" spans="1:191" x14ac:dyDescent="0.3">
      <c r="A5" s="34">
        <v>2</v>
      </c>
      <c r="B5" s="4"/>
      <c r="C5" s="4"/>
      <c r="D5" s="8"/>
      <c r="E5" s="9"/>
      <c r="F5" s="9"/>
      <c r="G5" s="4"/>
      <c r="H5" s="4"/>
      <c r="I5" s="4"/>
      <c r="J5" s="4"/>
      <c r="K5" s="4"/>
      <c r="L5" s="4"/>
      <c r="M5" s="4"/>
      <c r="N5" s="4"/>
      <c r="O5" s="4"/>
      <c r="P5" s="4"/>
      <c r="Q5" s="4"/>
      <c r="R5" s="4"/>
      <c r="S5" s="9"/>
      <c r="T5" s="8"/>
      <c r="U5" s="8"/>
      <c r="V5" s="9"/>
      <c r="W5" s="9"/>
      <c r="X5" s="8"/>
      <c r="Y5" s="8"/>
      <c r="Z5" s="9"/>
      <c r="AA5" s="4"/>
      <c r="AB5" s="4"/>
      <c r="AC5" s="9"/>
      <c r="AD5" s="9"/>
      <c r="AE5" s="9"/>
      <c r="AF5" s="9"/>
      <c r="AG5" s="9"/>
      <c r="AH5" s="9"/>
      <c r="AI5" s="9"/>
      <c r="AJ5" s="9"/>
      <c r="AK5" s="9"/>
      <c r="AL5" s="9"/>
      <c r="AM5" s="9"/>
      <c r="AN5" s="9"/>
      <c r="AO5" s="4"/>
      <c r="AP5" s="4"/>
      <c r="AQ5" s="4"/>
      <c r="AR5" s="9"/>
      <c r="AS5" s="9"/>
      <c r="AT5" s="9"/>
      <c r="AU5" s="4"/>
      <c r="AV5" s="4"/>
      <c r="AW5" s="4"/>
      <c r="AX5" s="8"/>
      <c r="AY5" s="8"/>
      <c r="AZ5" s="8"/>
      <c r="BA5" s="13"/>
      <c r="BB5" s="9"/>
      <c r="BC5" s="9"/>
      <c r="BD5" s="9"/>
      <c r="BE5" s="2"/>
      <c r="BF5" s="2"/>
      <c r="BG5" s="2"/>
      <c r="BH5" s="2"/>
      <c r="BI5" s="2"/>
      <c r="BJ5" s="2"/>
      <c r="BK5" s="2"/>
      <c r="BL5" s="2"/>
      <c r="BM5" s="2"/>
      <c r="BN5" s="2"/>
      <c r="BY5" s="1"/>
      <c r="BZ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row>
    <row r="6" spans="1:191" x14ac:dyDescent="0.3">
      <c r="A6" s="34">
        <v>3</v>
      </c>
      <c r="B6" s="4"/>
      <c r="C6" s="4"/>
      <c r="D6" s="8"/>
      <c r="E6" s="9"/>
      <c r="F6" s="9"/>
      <c r="G6" s="4"/>
      <c r="H6" s="4"/>
      <c r="I6" s="4"/>
      <c r="J6" s="4"/>
      <c r="K6" s="4"/>
      <c r="L6" s="4"/>
      <c r="M6" s="4"/>
      <c r="N6" s="4"/>
      <c r="O6" s="4"/>
      <c r="P6" s="4"/>
      <c r="Q6" s="4"/>
      <c r="R6" s="4"/>
      <c r="S6" s="9"/>
      <c r="T6" s="8"/>
      <c r="U6" s="8"/>
      <c r="V6" s="9"/>
      <c r="W6" s="9"/>
      <c r="X6" s="8"/>
      <c r="Y6" s="8"/>
      <c r="Z6" s="9"/>
      <c r="AA6" s="4"/>
      <c r="AB6" s="4"/>
      <c r="AC6" s="9"/>
      <c r="AD6" s="9"/>
      <c r="AE6" s="9"/>
      <c r="AF6" s="9"/>
      <c r="AG6" s="9"/>
      <c r="AH6" s="9"/>
      <c r="AI6" s="9"/>
      <c r="AJ6" s="9"/>
      <c r="AK6" s="9"/>
      <c r="AL6" s="9"/>
      <c r="AM6" s="9"/>
      <c r="AN6" s="9"/>
      <c r="AO6" s="4"/>
      <c r="AP6" s="4"/>
      <c r="AQ6" s="4"/>
      <c r="AR6" s="9"/>
      <c r="AS6" s="9"/>
      <c r="AT6" s="9"/>
      <c r="AU6" s="4"/>
      <c r="AV6" s="4"/>
      <c r="AW6" s="4"/>
      <c r="AX6" s="8"/>
      <c r="AY6" s="8"/>
      <c r="AZ6" s="8"/>
      <c r="BA6" s="13"/>
      <c r="BB6" s="9"/>
      <c r="BC6" s="9"/>
      <c r="BD6" s="9"/>
      <c r="BE6" s="2"/>
      <c r="BF6" s="2"/>
      <c r="BG6" s="2"/>
      <c r="BH6" s="2"/>
      <c r="BI6" s="2"/>
      <c r="BJ6" s="2"/>
      <c r="BK6" s="2"/>
      <c r="BL6" s="2"/>
      <c r="BM6" s="2"/>
      <c r="BN6" s="2"/>
      <c r="BY6" s="1"/>
      <c r="BZ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row>
    <row r="7" spans="1:191" x14ac:dyDescent="0.3">
      <c r="A7" s="34">
        <v>4</v>
      </c>
      <c r="B7" s="4"/>
      <c r="C7" s="4"/>
      <c r="D7" s="8"/>
      <c r="E7" s="9"/>
      <c r="F7" s="9"/>
      <c r="G7" s="4"/>
      <c r="H7" s="4"/>
      <c r="I7" s="4"/>
      <c r="J7" s="4"/>
      <c r="K7" s="4"/>
      <c r="L7" s="4"/>
      <c r="M7" s="4"/>
      <c r="N7" s="4"/>
      <c r="O7" s="4"/>
      <c r="P7" s="4"/>
      <c r="Q7" s="4"/>
      <c r="R7" s="4"/>
      <c r="S7" s="15"/>
      <c r="T7" s="8"/>
      <c r="U7" s="8"/>
      <c r="V7" s="9"/>
      <c r="W7" s="15"/>
      <c r="X7" s="8"/>
      <c r="Y7" s="8"/>
      <c r="Z7" s="9"/>
      <c r="AA7" s="4"/>
      <c r="AB7" s="4"/>
      <c r="AC7" s="9"/>
      <c r="AD7" s="9"/>
      <c r="AE7" s="9"/>
      <c r="AF7" s="9"/>
      <c r="AG7" s="9"/>
      <c r="AH7" s="9"/>
      <c r="AI7" s="9"/>
      <c r="AJ7" s="9"/>
      <c r="AK7" s="9"/>
      <c r="AL7" s="9"/>
      <c r="AM7" s="9"/>
      <c r="AN7" s="9"/>
      <c r="AO7" s="4"/>
      <c r="AP7" s="4"/>
      <c r="AQ7" s="4"/>
      <c r="AR7" s="9"/>
      <c r="AS7" s="9"/>
      <c r="AT7" s="9"/>
      <c r="AU7" s="4"/>
      <c r="AV7" s="4"/>
      <c r="AW7" s="4"/>
      <c r="AX7" s="8"/>
      <c r="AY7" s="8"/>
      <c r="AZ7" s="8"/>
      <c r="BA7" s="13"/>
      <c r="BB7" s="9"/>
      <c r="BC7" s="9"/>
      <c r="BD7" s="9"/>
      <c r="BE7" s="2"/>
      <c r="BF7" s="2"/>
      <c r="BG7" s="2"/>
      <c r="BH7" s="2"/>
      <c r="BI7" s="2"/>
      <c r="BJ7" s="2"/>
      <c r="BK7" s="2"/>
      <c r="BL7" s="2"/>
      <c r="BM7" s="2"/>
      <c r="BN7" s="2"/>
      <c r="BY7" s="1"/>
      <c r="BZ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row>
    <row r="8" spans="1:191" x14ac:dyDescent="0.3">
      <c r="A8" s="34">
        <v>5</v>
      </c>
      <c r="B8" s="4"/>
      <c r="C8" s="4"/>
      <c r="D8" s="8"/>
      <c r="E8" s="9"/>
      <c r="F8" s="9"/>
      <c r="G8" s="4"/>
      <c r="H8" s="4"/>
      <c r="I8" s="4"/>
      <c r="J8" s="4"/>
      <c r="K8" s="4"/>
      <c r="L8" s="4"/>
      <c r="M8" s="4"/>
      <c r="N8" s="4"/>
      <c r="O8" s="4"/>
      <c r="P8" s="4"/>
      <c r="Q8" s="4"/>
      <c r="R8" s="4"/>
      <c r="S8" s="15"/>
      <c r="T8" s="8"/>
      <c r="U8" s="8"/>
      <c r="V8" s="9"/>
      <c r="W8" s="15"/>
      <c r="X8" s="8"/>
      <c r="Y8" s="8"/>
      <c r="Z8" s="9"/>
      <c r="AA8" s="4"/>
      <c r="AB8" s="4"/>
      <c r="AC8" s="9"/>
      <c r="AD8" s="9"/>
      <c r="AE8" s="9"/>
      <c r="AF8" s="9"/>
      <c r="AG8" s="9"/>
      <c r="AH8" s="9"/>
      <c r="AI8" s="9"/>
      <c r="AJ8" s="9"/>
      <c r="AK8" s="9"/>
      <c r="AL8" s="9"/>
      <c r="AM8" s="9"/>
      <c r="AN8" s="9"/>
      <c r="AO8" s="4"/>
      <c r="AP8" s="4"/>
      <c r="AQ8" s="4"/>
      <c r="AR8" s="9"/>
      <c r="AS8" s="9"/>
      <c r="AT8" s="9"/>
      <c r="AU8" s="4"/>
      <c r="AV8" s="4"/>
      <c r="AW8" s="4"/>
      <c r="AX8" s="8"/>
      <c r="AY8" s="8"/>
      <c r="AZ8" s="8"/>
      <c r="BA8" s="13"/>
      <c r="BB8" s="9"/>
      <c r="BC8" s="9"/>
      <c r="BD8" s="9"/>
      <c r="BE8" s="2"/>
      <c r="BF8" s="2"/>
      <c r="BG8" s="2"/>
      <c r="BH8" s="2"/>
      <c r="BI8" s="2"/>
      <c r="BJ8" s="2"/>
      <c r="BK8" s="2"/>
      <c r="BL8" s="2"/>
      <c r="BM8" s="2"/>
      <c r="BN8" s="2"/>
    </row>
    <row r="9" spans="1:191" x14ac:dyDescent="0.3">
      <c r="A9" s="34">
        <v>6</v>
      </c>
      <c r="B9" s="4"/>
      <c r="C9" s="4"/>
      <c r="D9" s="8"/>
      <c r="E9" s="9"/>
      <c r="F9" s="9"/>
      <c r="G9" s="4"/>
      <c r="H9" s="4"/>
      <c r="I9" s="4"/>
      <c r="J9" s="4"/>
      <c r="K9" s="4"/>
      <c r="L9" s="4"/>
      <c r="M9" s="4"/>
      <c r="N9" s="4"/>
      <c r="O9" s="4"/>
      <c r="P9" s="4"/>
      <c r="Q9" s="4"/>
      <c r="R9" s="4"/>
      <c r="S9" s="15"/>
      <c r="T9" s="8"/>
      <c r="U9" s="8"/>
      <c r="V9" s="9"/>
      <c r="W9" s="15"/>
      <c r="X9" s="8"/>
      <c r="Y9" s="8"/>
      <c r="Z9" s="9"/>
      <c r="AA9" s="4"/>
      <c r="AB9" s="4"/>
      <c r="AC9" s="9"/>
      <c r="AD9" s="9"/>
      <c r="AE9" s="9"/>
      <c r="AF9" s="9"/>
      <c r="AG9" s="9"/>
      <c r="AH9" s="9"/>
      <c r="AI9" s="9"/>
      <c r="AJ9" s="9"/>
      <c r="AK9" s="9"/>
      <c r="AL9" s="9"/>
      <c r="AM9" s="9"/>
      <c r="AN9" s="9"/>
      <c r="AO9" s="4"/>
      <c r="AP9" s="4"/>
      <c r="AQ9" s="4"/>
      <c r="AR9" s="9"/>
      <c r="AS9" s="9"/>
      <c r="AT9" s="9"/>
      <c r="AU9" s="4"/>
      <c r="AV9" s="4"/>
      <c r="AW9" s="4"/>
      <c r="AX9" s="8"/>
      <c r="AY9" s="8"/>
      <c r="AZ9" s="8"/>
      <c r="BA9" s="13"/>
      <c r="BB9" s="9"/>
      <c r="BC9" s="9"/>
      <c r="BD9" s="9"/>
      <c r="BE9" s="2"/>
      <c r="BF9" s="2"/>
      <c r="BG9" s="2"/>
      <c r="BH9" s="2"/>
      <c r="BI9" s="2"/>
      <c r="BJ9" s="2"/>
      <c r="BK9" s="2"/>
      <c r="BL9" s="2"/>
      <c r="BM9" s="2"/>
      <c r="BN9" s="2"/>
    </row>
    <row r="10" spans="1:191" x14ac:dyDescent="0.3">
      <c r="A10" s="34">
        <v>7</v>
      </c>
      <c r="B10" s="4"/>
      <c r="C10" s="4"/>
      <c r="D10" s="8"/>
      <c r="E10" s="9"/>
      <c r="F10" s="9"/>
      <c r="G10" s="4"/>
      <c r="H10" s="4"/>
      <c r="I10" s="4"/>
      <c r="J10" s="4"/>
      <c r="K10" s="4"/>
      <c r="L10" s="4"/>
      <c r="M10" s="4"/>
      <c r="N10" s="4"/>
      <c r="O10" s="4"/>
      <c r="P10" s="4"/>
      <c r="Q10" s="4"/>
      <c r="R10" s="4"/>
      <c r="S10" s="15"/>
      <c r="T10" s="8"/>
      <c r="U10" s="8"/>
      <c r="V10" s="9"/>
      <c r="W10" s="15"/>
      <c r="X10" s="8"/>
      <c r="Y10" s="8"/>
      <c r="Z10" s="9"/>
      <c r="AA10" s="4"/>
      <c r="AB10" s="4"/>
      <c r="AC10" s="9"/>
      <c r="AD10" s="9"/>
      <c r="AE10" s="9"/>
      <c r="AF10" s="9"/>
      <c r="AG10" s="9"/>
      <c r="AH10" s="9"/>
      <c r="AI10" s="9"/>
      <c r="AJ10" s="9"/>
      <c r="AK10" s="9"/>
      <c r="AL10" s="9"/>
      <c r="AM10" s="9"/>
      <c r="AN10" s="9"/>
      <c r="AO10" s="4"/>
      <c r="AP10" s="4"/>
      <c r="AQ10" s="4"/>
      <c r="AR10" s="9"/>
      <c r="AS10" s="9"/>
      <c r="AT10" s="9"/>
      <c r="AU10" s="4"/>
      <c r="AV10" s="4"/>
      <c r="AW10" s="4"/>
      <c r="AX10" s="8"/>
      <c r="AY10" s="8"/>
      <c r="AZ10" s="8"/>
      <c r="BA10" s="13"/>
      <c r="BB10" s="9"/>
      <c r="BC10" s="9"/>
      <c r="BD10" s="9"/>
      <c r="BE10" s="2"/>
      <c r="BF10" s="2"/>
      <c r="BG10" s="2"/>
      <c r="BH10" s="2"/>
      <c r="BI10" s="2"/>
      <c r="BJ10" s="2"/>
      <c r="BK10" s="2"/>
      <c r="BL10" s="2"/>
      <c r="BM10" s="2"/>
      <c r="BN10" s="2"/>
    </row>
    <row r="11" spans="1:191" x14ac:dyDescent="0.3">
      <c r="A11" s="34">
        <v>8</v>
      </c>
      <c r="B11" s="4"/>
      <c r="C11" s="4"/>
      <c r="D11" s="8"/>
      <c r="E11" s="9"/>
      <c r="F11" s="9"/>
      <c r="G11" s="4"/>
      <c r="H11" s="4"/>
      <c r="I11" s="4"/>
      <c r="J11" s="4"/>
      <c r="K11" s="4"/>
      <c r="L11" s="4"/>
      <c r="M11" s="4"/>
      <c r="N11" s="4"/>
      <c r="O11" s="4"/>
      <c r="P11" s="4"/>
      <c r="Q11" s="4"/>
      <c r="R11" s="4"/>
      <c r="S11" s="15"/>
      <c r="T11" s="8"/>
      <c r="U11" s="8"/>
      <c r="V11" s="9"/>
      <c r="W11" s="15"/>
      <c r="X11" s="8"/>
      <c r="Y11" s="8"/>
      <c r="Z11" s="9"/>
      <c r="AA11" s="4"/>
      <c r="AB11" s="4"/>
      <c r="AC11" s="9"/>
      <c r="AD11" s="9"/>
      <c r="AE11" s="9"/>
      <c r="AF11" s="9"/>
      <c r="AG11" s="9"/>
      <c r="AH11" s="9"/>
      <c r="AI11" s="9"/>
      <c r="AJ11" s="9"/>
      <c r="AK11" s="9"/>
      <c r="AL11" s="9"/>
      <c r="AM11" s="9"/>
      <c r="AN11" s="9"/>
      <c r="AO11" s="4"/>
      <c r="AP11" s="4"/>
      <c r="AQ11" s="4"/>
      <c r="AR11" s="9"/>
      <c r="AS11" s="9"/>
      <c r="AT11" s="9"/>
      <c r="AU11" s="4"/>
      <c r="AV11" s="4"/>
      <c r="AW11" s="4"/>
      <c r="AX11" s="8"/>
      <c r="AY11" s="8"/>
      <c r="AZ11" s="8"/>
      <c r="BA11" s="13"/>
      <c r="BB11" s="9"/>
      <c r="BC11" s="9"/>
      <c r="BD11" s="9"/>
      <c r="BE11" s="2"/>
      <c r="BF11" s="2"/>
      <c r="BG11" s="2"/>
      <c r="BH11" s="2"/>
      <c r="BI11" s="2"/>
      <c r="BJ11" s="2"/>
      <c r="BK11" s="2"/>
      <c r="BL11" s="2"/>
      <c r="BM11" s="2"/>
      <c r="BN11" s="2"/>
    </row>
    <row r="12" spans="1:191" x14ac:dyDescent="0.3">
      <c r="A12" s="34">
        <v>9</v>
      </c>
      <c r="B12" s="4"/>
      <c r="C12" s="4"/>
      <c r="D12" s="8"/>
      <c r="E12" s="9"/>
      <c r="F12" s="9"/>
      <c r="G12" s="4"/>
      <c r="H12" s="4"/>
      <c r="I12" s="4"/>
      <c r="J12" s="4"/>
      <c r="K12" s="4"/>
      <c r="L12" s="4"/>
      <c r="M12" s="4"/>
      <c r="N12" s="4"/>
      <c r="O12" s="4"/>
      <c r="P12" s="4"/>
      <c r="Q12" s="4"/>
      <c r="R12" s="4"/>
      <c r="S12" s="15"/>
      <c r="T12" s="8"/>
      <c r="U12" s="8"/>
      <c r="V12" s="9"/>
      <c r="W12" s="15"/>
      <c r="X12" s="8"/>
      <c r="Y12" s="8"/>
      <c r="Z12" s="9"/>
      <c r="AA12" s="4"/>
      <c r="AB12" s="4"/>
      <c r="AC12" s="9"/>
      <c r="AD12" s="9"/>
      <c r="AE12" s="9"/>
      <c r="AF12" s="9"/>
      <c r="AG12" s="9"/>
      <c r="AH12" s="9"/>
      <c r="AI12" s="9"/>
      <c r="AJ12" s="9"/>
      <c r="AK12" s="9"/>
      <c r="AL12" s="9"/>
      <c r="AM12" s="9"/>
      <c r="AN12" s="9"/>
      <c r="AO12" s="4"/>
      <c r="AP12" s="4"/>
      <c r="AQ12" s="4"/>
      <c r="AR12" s="9"/>
      <c r="AS12" s="9"/>
      <c r="AT12" s="9"/>
      <c r="AU12" s="4"/>
      <c r="AV12" s="4"/>
      <c r="AW12" s="4"/>
      <c r="AX12" s="8"/>
      <c r="AY12" s="8"/>
      <c r="AZ12" s="8"/>
      <c r="BA12" s="13"/>
      <c r="BB12" s="9"/>
      <c r="BC12" s="9"/>
      <c r="BD12" s="9"/>
      <c r="BE12" s="2"/>
      <c r="BF12" s="2"/>
      <c r="BG12" s="2"/>
      <c r="BH12" s="2"/>
      <c r="BI12" s="2"/>
      <c r="BJ12" s="2"/>
      <c r="BK12" s="2"/>
      <c r="BL12" s="2"/>
      <c r="BM12" s="2"/>
      <c r="BN12" s="2"/>
    </row>
    <row r="13" spans="1:191" x14ac:dyDescent="0.3">
      <c r="A13" s="34"/>
      <c r="B13" s="4"/>
      <c r="C13" s="4"/>
      <c r="D13" s="8"/>
      <c r="E13" s="9"/>
      <c r="F13" s="9"/>
      <c r="G13" s="4"/>
      <c r="H13" s="4"/>
      <c r="I13" s="4"/>
      <c r="J13" s="4"/>
      <c r="K13" s="4"/>
      <c r="L13" s="4"/>
      <c r="M13" s="4"/>
      <c r="N13" s="4"/>
      <c r="O13" s="4"/>
      <c r="P13" s="4"/>
      <c r="Q13" s="4"/>
      <c r="R13" s="4"/>
      <c r="S13" s="15"/>
      <c r="T13" s="8"/>
      <c r="U13" s="8"/>
      <c r="V13" s="9"/>
      <c r="W13" s="15"/>
      <c r="X13" s="8"/>
      <c r="Y13" s="8"/>
      <c r="Z13" s="9"/>
      <c r="AA13" s="4"/>
      <c r="AB13" s="4"/>
      <c r="AC13" s="9"/>
      <c r="AD13" s="9"/>
      <c r="AE13" s="9"/>
      <c r="AF13" s="9"/>
      <c r="AG13" s="9"/>
      <c r="AH13" s="9"/>
      <c r="AI13" s="9"/>
      <c r="AJ13" s="9"/>
      <c r="AK13" s="9"/>
      <c r="AL13" s="9"/>
      <c r="AM13" s="9"/>
      <c r="AN13" s="9"/>
      <c r="AO13" s="4"/>
      <c r="AP13" s="4"/>
      <c r="AQ13" s="4"/>
      <c r="AR13" s="9"/>
      <c r="AS13" s="9"/>
      <c r="AT13" s="9"/>
      <c r="AU13" s="4"/>
      <c r="AV13" s="4"/>
      <c r="AW13" s="4"/>
      <c r="AX13" s="8"/>
      <c r="AY13" s="8"/>
      <c r="AZ13" s="8"/>
      <c r="BA13" s="13"/>
      <c r="BB13" s="9"/>
      <c r="BC13" s="9"/>
      <c r="BD13" s="9"/>
      <c r="BE13" s="2"/>
      <c r="BF13" s="2"/>
      <c r="BG13" s="2"/>
      <c r="BH13" s="2"/>
      <c r="BI13" s="2"/>
      <c r="BJ13" s="2"/>
      <c r="BK13" s="2"/>
      <c r="BL13" s="2"/>
      <c r="BM13" s="2"/>
      <c r="BN13" s="2"/>
    </row>
    <row r="14" spans="1:191" x14ac:dyDescent="0.3">
      <c r="A14" s="34"/>
      <c r="B14" s="4"/>
      <c r="C14" s="4"/>
      <c r="D14" s="8"/>
      <c r="E14" s="9"/>
      <c r="F14" s="9"/>
      <c r="G14" s="4"/>
      <c r="H14" s="4"/>
      <c r="I14" s="4"/>
      <c r="J14" s="4"/>
      <c r="K14" s="4"/>
      <c r="L14" s="4"/>
      <c r="M14" s="4"/>
      <c r="N14" s="4"/>
      <c r="O14" s="4"/>
      <c r="P14" s="4"/>
      <c r="Q14" s="4"/>
      <c r="R14" s="4"/>
      <c r="S14" s="15"/>
      <c r="T14" s="8"/>
      <c r="U14" s="8"/>
      <c r="V14" s="9"/>
      <c r="W14" s="15"/>
      <c r="X14" s="8"/>
      <c r="Y14" s="8"/>
      <c r="Z14" s="9"/>
      <c r="AA14" s="4"/>
      <c r="AB14" s="4"/>
      <c r="AC14" s="9"/>
      <c r="AD14" s="9"/>
      <c r="AE14" s="9"/>
      <c r="AF14" s="9"/>
      <c r="AG14" s="9"/>
      <c r="AH14" s="9"/>
      <c r="AI14" s="9"/>
      <c r="AJ14" s="9"/>
      <c r="AK14" s="9"/>
      <c r="AL14" s="9"/>
      <c r="AM14" s="9"/>
      <c r="AN14" s="9"/>
      <c r="AO14" s="4"/>
      <c r="AP14" s="4"/>
      <c r="AQ14" s="4"/>
      <c r="AR14" s="9"/>
      <c r="AS14" s="9"/>
      <c r="AT14" s="9"/>
      <c r="AU14" s="4"/>
      <c r="AV14" s="4"/>
      <c r="AW14" s="4"/>
      <c r="AX14" s="8"/>
      <c r="AY14" s="8"/>
      <c r="AZ14" s="8"/>
      <c r="BA14" s="13"/>
      <c r="BB14" s="9"/>
      <c r="BC14" s="9"/>
      <c r="BD14" s="9"/>
      <c r="BE14" s="2"/>
      <c r="BF14" s="2"/>
      <c r="BG14" s="2"/>
      <c r="BH14" s="2"/>
      <c r="BI14" s="2"/>
      <c r="BJ14" s="2"/>
      <c r="BK14" s="2"/>
      <c r="BL14" s="2"/>
      <c r="BM14" s="2"/>
      <c r="BN14" s="2"/>
    </row>
    <row r="15" spans="1:191" x14ac:dyDescent="0.3">
      <c r="A15" s="34"/>
      <c r="B15" s="4"/>
      <c r="C15" s="4"/>
      <c r="D15" s="8"/>
      <c r="E15" s="9"/>
      <c r="F15" s="9"/>
      <c r="G15" s="4"/>
      <c r="H15" s="4"/>
      <c r="I15" s="4"/>
      <c r="J15" s="4"/>
      <c r="K15" s="4"/>
      <c r="L15" s="4"/>
      <c r="M15" s="4"/>
      <c r="N15" s="4"/>
      <c r="O15" s="4"/>
      <c r="P15" s="4"/>
      <c r="Q15" s="4"/>
      <c r="R15" s="4"/>
      <c r="S15" s="15"/>
      <c r="T15" s="8"/>
      <c r="U15" s="8"/>
      <c r="V15" s="9"/>
      <c r="W15" s="15"/>
      <c r="X15" s="8"/>
      <c r="Y15" s="8"/>
      <c r="Z15" s="9"/>
      <c r="AA15" s="4"/>
      <c r="AB15" s="4"/>
      <c r="AC15" s="9"/>
      <c r="AD15" s="9"/>
      <c r="AE15" s="9"/>
      <c r="AF15" s="9"/>
      <c r="AG15" s="9"/>
      <c r="AH15" s="9"/>
      <c r="AI15" s="9"/>
      <c r="AJ15" s="9"/>
      <c r="AK15" s="9"/>
      <c r="AL15" s="9"/>
      <c r="AM15" s="9"/>
      <c r="AN15" s="9"/>
      <c r="AO15" s="4"/>
      <c r="AP15" s="4"/>
      <c r="AQ15" s="4"/>
      <c r="AR15" s="9"/>
      <c r="AS15" s="9"/>
      <c r="AT15" s="9"/>
      <c r="AU15" s="4"/>
      <c r="AV15" s="4"/>
      <c r="AW15" s="4"/>
      <c r="AX15" s="8"/>
      <c r="AY15" s="8"/>
      <c r="AZ15" s="8"/>
      <c r="BA15" s="13"/>
      <c r="BB15" s="9"/>
      <c r="BC15" s="9"/>
      <c r="BD15" s="9"/>
      <c r="BE15" s="2"/>
      <c r="BF15" s="2"/>
      <c r="BG15" s="2"/>
      <c r="BH15" s="2"/>
      <c r="BI15" s="2"/>
      <c r="BJ15" s="2"/>
      <c r="BK15" s="2"/>
      <c r="BL15" s="2"/>
      <c r="BM15" s="2"/>
      <c r="BN15" s="2"/>
    </row>
    <row r="16" spans="1:191" x14ac:dyDescent="0.3">
      <c r="A16" s="34"/>
      <c r="B16" s="4"/>
      <c r="C16" s="4"/>
      <c r="D16" s="8"/>
      <c r="E16" s="9"/>
      <c r="F16" s="9"/>
      <c r="G16" s="4"/>
      <c r="H16" s="4"/>
      <c r="I16" s="4"/>
      <c r="J16" s="4"/>
      <c r="K16" s="4"/>
      <c r="L16" s="4"/>
      <c r="M16" s="4"/>
      <c r="N16" s="4"/>
      <c r="O16" s="4"/>
      <c r="P16" s="4"/>
      <c r="Q16" s="4"/>
      <c r="R16" s="4"/>
      <c r="S16" s="15"/>
      <c r="T16" s="8"/>
      <c r="U16" s="8"/>
      <c r="V16" s="9"/>
      <c r="W16" s="15"/>
      <c r="X16" s="8"/>
      <c r="Y16" s="8"/>
      <c r="Z16" s="9"/>
      <c r="AA16" s="4"/>
      <c r="AB16" s="4"/>
      <c r="AC16" s="9"/>
      <c r="AD16" s="9"/>
      <c r="AE16" s="9"/>
      <c r="AF16" s="9"/>
      <c r="AG16" s="9"/>
      <c r="AH16" s="9"/>
      <c r="AI16" s="9"/>
      <c r="AJ16" s="9"/>
      <c r="AK16" s="9"/>
      <c r="AL16" s="9"/>
      <c r="AM16" s="9"/>
      <c r="AN16" s="9"/>
      <c r="AO16" s="4"/>
      <c r="AP16" s="4"/>
      <c r="AQ16" s="4"/>
      <c r="AR16" s="9"/>
      <c r="AS16" s="9"/>
      <c r="AT16" s="9"/>
      <c r="AU16" s="4"/>
      <c r="AV16" s="4"/>
      <c r="AW16" s="4"/>
      <c r="AX16" s="8"/>
      <c r="AY16" s="8"/>
      <c r="AZ16" s="8"/>
      <c r="BA16" s="13"/>
      <c r="BB16" s="9"/>
      <c r="BC16" s="9"/>
      <c r="BD16" s="9"/>
      <c r="BE16" s="2"/>
      <c r="BF16" s="2"/>
      <c r="BG16" s="2"/>
      <c r="BH16" s="2"/>
      <c r="BI16" s="2"/>
      <c r="BJ16" s="2"/>
      <c r="BK16" s="2"/>
      <c r="BL16" s="2"/>
      <c r="BM16" s="2"/>
      <c r="BN16" s="2"/>
    </row>
    <row r="17" spans="1:66" x14ac:dyDescent="0.3">
      <c r="A17" s="34"/>
      <c r="B17" s="4"/>
      <c r="C17" s="4"/>
      <c r="D17" s="8"/>
      <c r="E17" s="9"/>
      <c r="F17" s="9"/>
      <c r="G17" s="4"/>
      <c r="H17" s="4"/>
      <c r="I17" s="4"/>
      <c r="J17" s="4"/>
      <c r="K17" s="4"/>
      <c r="L17" s="4"/>
      <c r="M17" s="4"/>
      <c r="N17" s="4"/>
      <c r="O17" s="4"/>
      <c r="P17" s="4"/>
      <c r="Q17" s="4"/>
      <c r="R17" s="4"/>
      <c r="S17" s="15"/>
      <c r="T17" s="8"/>
      <c r="U17" s="8"/>
      <c r="V17" s="9"/>
      <c r="W17" s="15"/>
      <c r="X17" s="8"/>
      <c r="Y17" s="8"/>
      <c r="Z17" s="9"/>
      <c r="AA17" s="4"/>
      <c r="AB17" s="4"/>
      <c r="AC17" s="9"/>
      <c r="AD17" s="9"/>
      <c r="AE17" s="9"/>
      <c r="AF17" s="9"/>
      <c r="AG17" s="9"/>
      <c r="AH17" s="9"/>
      <c r="AI17" s="9"/>
      <c r="AJ17" s="9"/>
      <c r="AK17" s="9"/>
      <c r="AL17" s="9"/>
      <c r="AM17" s="9"/>
      <c r="AN17" s="9"/>
      <c r="AO17" s="4"/>
      <c r="AP17" s="4"/>
      <c r="AQ17" s="4"/>
      <c r="AR17" s="9"/>
      <c r="AS17" s="9"/>
      <c r="AT17" s="9"/>
      <c r="AU17" s="4"/>
      <c r="AV17" s="4"/>
      <c r="AW17" s="4"/>
      <c r="AX17" s="8"/>
      <c r="AY17" s="8"/>
      <c r="AZ17" s="8"/>
      <c r="BA17" s="13"/>
      <c r="BB17" s="9"/>
      <c r="BC17" s="9"/>
      <c r="BD17" s="9"/>
      <c r="BE17" s="2"/>
      <c r="BF17" s="2"/>
      <c r="BG17" s="2"/>
      <c r="BH17" s="2"/>
      <c r="BI17" s="2"/>
      <c r="BJ17" s="2"/>
      <c r="BK17" s="2"/>
      <c r="BL17" s="2"/>
      <c r="BM17" s="2"/>
      <c r="BN17" s="2"/>
    </row>
    <row r="18" spans="1:66" x14ac:dyDescent="0.3">
      <c r="A18" s="34"/>
      <c r="B18" s="4"/>
      <c r="C18" s="4"/>
      <c r="D18" s="8"/>
      <c r="E18" s="9"/>
      <c r="F18" s="9"/>
      <c r="G18" s="4"/>
      <c r="H18" s="4"/>
      <c r="I18" s="4"/>
      <c r="J18" s="4"/>
      <c r="K18" s="4"/>
      <c r="L18" s="4"/>
      <c r="M18" s="4"/>
      <c r="N18" s="4"/>
      <c r="O18" s="4"/>
      <c r="P18" s="4"/>
      <c r="Q18" s="4"/>
      <c r="R18" s="4"/>
      <c r="S18" s="15"/>
      <c r="T18" s="8"/>
      <c r="U18" s="8"/>
      <c r="V18" s="9"/>
      <c r="W18" s="15"/>
      <c r="X18" s="8"/>
      <c r="Y18" s="8"/>
      <c r="Z18" s="9"/>
      <c r="AA18" s="4"/>
      <c r="AB18" s="4"/>
      <c r="AC18" s="9"/>
      <c r="AD18" s="9"/>
      <c r="AE18" s="9"/>
      <c r="AF18" s="9"/>
      <c r="AG18" s="9"/>
      <c r="AH18" s="9"/>
      <c r="AI18" s="9"/>
      <c r="AJ18" s="9"/>
      <c r="AK18" s="9"/>
      <c r="AL18" s="9"/>
      <c r="AM18" s="9"/>
      <c r="AN18" s="9"/>
      <c r="AO18" s="4"/>
      <c r="AP18" s="4"/>
      <c r="AQ18" s="4"/>
      <c r="AR18" s="9"/>
      <c r="AS18" s="9"/>
      <c r="AT18" s="9"/>
      <c r="AU18" s="4"/>
      <c r="AV18" s="4"/>
      <c r="AW18" s="4"/>
      <c r="AX18" s="8"/>
      <c r="AY18" s="8"/>
      <c r="AZ18" s="8"/>
      <c r="BA18" s="13"/>
      <c r="BB18" s="9"/>
      <c r="BC18" s="9"/>
      <c r="BD18" s="9"/>
      <c r="BE18" s="2"/>
      <c r="BF18" s="2"/>
      <c r="BG18" s="2"/>
      <c r="BH18" s="2"/>
      <c r="BI18" s="2"/>
      <c r="BJ18" s="2"/>
      <c r="BK18" s="2"/>
      <c r="BL18" s="2"/>
      <c r="BM18" s="2"/>
      <c r="BN18" s="2"/>
    </row>
    <row r="19" spans="1:66" x14ac:dyDescent="0.3">
      <c r="A19" s="34"/>
      <c r="B19" s="4"/>
      <c r="C19" s="4"/>
      <c r="D19" s="8"/>
      <c r="E19" s="9"/>
      <c r="F19" s="9"/>
      <c r="G19" s="4"/>
      <c r="H19" s="4"/>
      <c r="I19" s="4"/>
      <c r="J19" s="4"/>
      <c r="K19" s="4"/>
      <c r="L19" s="4"/>
      <c r="M19" s="4"/>
      <c r="N19" s="4"/>
      <c r="O19" s="4"/>
      <c r="P19" s="4"/>
      <c r="Q19" s="4"/>
      <c r="R19" s="4"/>
      <c r="S19" s="15"/>
      <c r="T19" s="8"/>
      <c r="U19" s="8"/>
      <c r="V19" s="9"/>
      <c r="W19" s="15"/>
      <c r="X19" s="8"/>
      <c r="Y19" s="8"/>
      <c r="Z19" s="9"/>
      <c r="AA19" s="4"/>
      <c r="AB19" s="4"/>
      <c r="AC19" s="9"/>
      <c r="AD19" s="9"/>
      <c r="AE19" s="9"/>
      <c r="AF19" s="9"/>
      <c r="AG19" s="9"/>
      <c r="AH19" s="9"/>
      <c r="AI19" s="9"/>
      <c r="AJ19" s="9"/>
      <c r="AK19" s="9"/>
      <c r="AL19" s="9"/>
      <c r="AM19" s="9"/>
      <c r="AN19" s="9"/>
      <c r="AO19" s="4"/>
      <c r="AP19" s="4"/>
      <c r="AQ19" s="4"/>
      <c r="AR19" s="9"/>
      <c r="AS19" s="9"/>
      <c r="AT19" s="9"/>
      <c r="AU19" s="4"/>
      <c r="AV19" s="4"/>
      <c r="AW19" s="4"/>
      <c r="AX19" s="8"/>
      <c r="AY19" s="8"/>
      <c r="AZ19" s="8"/>
      <c r="BA19" s="13"/>
      <c r="BB19" s="9"/>
      <c r="BC19" s="9"/>
      <c r="BD19" s="9"/>
      <c r="BE19" s="2"/>
      <c r="BF19" s="2"/>
      <c r="BG19" s="2"/>
      <c r="BH19" s="2"/>
      <c r="BI19" s="2"/>
      <c r="BJ19" s="2"/>
      <c r="BK19" s="2"/>
      <c r="BL19" s="2"/>
      <c r="BM19" s="2"/>
      <c r="BN19" s="2"/>
    </row>
    <row r="20" spans="1:66" x14ac:dyDescent="0.3">
      <c r="A20" s="34"/>
      <c r="B20" s="4"/>
      <c r="C20" s="4"/>
      <c r="D20" s="8"/>
      <c r="E20" s="9"/>
      <c r="F20" s="9"/>
      <c r="G20" s="4"/>
      <c r="H20" s="4"/>
      <c r="I20" s="4"/>
      <c r="J20" s="4"/>
      <c r="K20" s="4"/>
      <c r="L20" s="4"/>
      <c r="M20" s="4"/>
      <c r="N20" s="4"/>
      <c r="O20" s="4"/>
      <c r="P20" s="4"/>
      <c r="Q20" s="4"/>
      <c r="R20" s="4"/>
      <c r="S20" s="15"/>
      <c r="T20" s="8"/>
      <c r="U20" s="8"/>
      <c r="V20" s="9"/>
      <c r="W20" s="15"/>
      <c r="X20" s="8"/>
      <c r="Y20" s="8"/>
      <c r="Z20" s="9"/>
      <c r="AA20" s="4"/>
      <c r="AB20" s="4"/>
      <c r="AC20" s="9"/>
      <c r="AD20" s="9"/>
      <c r="AE20" s="9"/>
      <c r="AF20" s="9"/>
      <c r="AG20" s="9"/>
      <c r="AH20" s="9"/>
      <c r="AI20" s="9"/>
      <c r="AJ20" s="9"/>
      <c r="AK20" s="9"/>
      <c r="AL20" s="9"/>
      <c r="AM20" s="9"/>
      <c r="AN20" s="9"/>
      <c r="AO20" s="4"/>
      <c r="AP20" s="4"/>
      <c r="AQ20" s="4"/>
      <c r="AR20" s="9"/>
      <c r="AS20" s="9"/>
      <c r="AT20" s="9"/>
      <c r="AU20" s="4"/>
      <c r="AV20" s="4"/>
      <c r="AW20" s="4"/>
      <c r="AX20" s="8"/>
      <c r="AY20" s="8"/>
      <c r="AZ20" s="8"/>
      <c r="BA20" s="13"/>
      <c r="BB20" s="9"/>
      <c r="BC20" s="9"/>
      <c r="BD20" s="9"/>
      <c r="BE20" s="2"/>
      <c r="BF20" s="2"/>
      <c r="BG20" s="2"/>
      <c r="BH20" s="2"/>
      <c r="BI20" s="2"/>
      <c r="BJ20" s="2"/>
      <c r="BK20" s="2"/>
      <c r="BL20" s="2"/>
      <c r="BM20" s="2"/>
      <c r="BN20" s="2"/>
    </row>
    <row r="21" spans="1:66" x14ac:dyDescent="0.3">
      <c r="A21" s="34"/>
      <c r="B21" s="4"/>
      <c r="C21" s="4"/>
      <c r="D21" s="8"/>
      <c r="E21" s="9"/>
      <c r="F21" s="9"/>
      <c r="G21" s="4"/>
      <c r="H21" s="4"/>
      <c r="I21" s="4"/>
      <c r="J21" s="4"/>
      <c r="K21" s="4"/>
      <c r="L21" s="4"/>
      <c r="M21" s="4"/>
      <c r="N21" s="4"/>
      <c r="O21" s="4"/>
      <c r="P21" s="4"/>
      <c r="Q21" s="4"/>
      <c r="R21" s="4"/>
      <c r="S21" s="15"/>
      <c r="T21" s="8"/>
      <c r="U21" s="8"/>
      <c r="V21" s="9"/>
      <c r="W21" s="15"/>
      <c r="X21" s="8"/>
      <c r="Y21" s="8"/>
      <c r="Z21" s="9"/>
      <c r="AA21" s="4"/>
      <c r="AB21" s="4"/>
      <c r="AC21" s="9"/>
      <c r="AD21" s="9"/>
      <c r="AE21" s="9"/>
      <c r="AF21" s="9"/>
      <c r="AG21" s="9"/>
      <c r="AH21" s="9"/>
      <c r="AI21" s="9"/>
      <c r="AJ21" s="9"/>
      <c r="AK21" s="9"/>
      <c r="AL21" s="9"/>
      <c r="AM21" s="9"/>
      <c r="AN21" s="9"/>
      <c r="AO21" s="4"/>
      <c r="AP21" s="4"/>
      <c r="AQ21" s="4"/>
      <c r="AR21" s="9"/>
      <c r="AS21" s="9"/>
      <c r="AT21" s="9"/>
      <c r="AU21" s="4"/>
      <c r="AV21" s="4"/>
      <c r="AW21" s="4"/>
      <c r="AX21" s="8"/>
      <c r="AY21" s="8"/>
      <c r="AZ21" s="8"/>
      <c r="BA21" s="13"/>
      <c r="BB21" s="9"/>
      <c r="BC21" s="9"/>
      <c r="BD21" s="9"/>
      <c r="BE21" s="2"/>
      <c r="BF21" s="2"/>
      <c r="BG21" s="2"/>
      <c r="BH21" s="2"/>
      <c r="BI21" s="2"/>
      <c r="BJ21" s="2"/>
      <c r="BK21" s="2"/>
      <c r="BL21" s="2"/>
      <c r="BM21" s="2"/>
      <c r="BN21" s="2"/>
    </row>
    <row r="22" spans="1:66" x14ac:dyDescent="0.3">
      <c r="A22" s="34"/>
      <c r="B22" s="4"/>
      <c r="C22" s="4"/>
      <c r="D22" s="8"/>
      <c r="E22" s="9"/>
      <c r="F22" s="9"/>
      <c r="G22" s="4"/>
      <c r="H22" s="4"/>
      <c r="I22" s="4"/>
      <c r="J22" s="4"/>
      <c r="K22" s="4"/>
      <c r="L22" s="4"/>
      <c r="M22" s="4"/>
      <c r="N22" s="4"/>
      <c r="O22" s="4"/>
      <c r="P22" s="4"/>
      <c r="Q22" s="4"/>
      <c r="R22" s="4"/>
      <c r="S22" s="15"/>
      <c r="T22" s="8"/>
      <c r="U22" s="8"/>
      <c r="V22" s="9"/>
      <c r="W22" s="15"/>
      <c r="X22" s="8"/>
      <c r="Y22" s="8"/>
      <c r="Z22" s="9"/>
      <c r="AA22" s="4"/>
      <c r="AB22" s="4"/>
      <c r="AC22" s="9"/>
      <c r="AD22" s="9"/>
      <c r="AE22" s="9"/>
      <c r="AF22" s="9"/>
      <c r="AG22" s="9"/>
      <c r="AH22" s="9"/>
      <c r="AI22" s="9"/>
      <c r="AJ22" s="9"/>
      <c r="AK22" s="9"/>
      <c r="AL22" s="9"/>
      <c r="AM22" s="9"/>
      <c r="AN22" s="9"/>
      <c r="AO22" s="4"/>
      <c r="AP22" s="4"/>
      <c r="AQ22" s="4"/>
      <c r="AR22" s="9"/>
      <c r="AS22" s="9"/>
      <c r="AT22" s="9"/>
      <c r="AU22" s="4"/>
      <c r="AV22" s="4"/>
      <c r="AW22" s="4"/>
      <c r="AX22" s="8"/>
      <c r="AY22" s="8"/>
      <c r="AZ22" s="8"/>
      <c r="BA22" s="13"/>
      <c r="BB22" s="9"/>
      <c r="BC22" s="9"/>
      <c r="BD22" s="9"/>
      <c r="BE22" s="2"/>
      <c r="BF22" s="2"/>
      <c r="BG22" s="2"/>
      <c r="BH22" s="2"/>
      <c r="BI22" s="2"/>
      <c r="BJ22" s="2"/>
      <c r="BK22" s="2"/>
      <c r="BL22" s="2"/>
      <c r="BM22" s="2"/>
      <c r="BN22" s="2"/>
    </row>
    <row r="23" spans="1:66" x14ac:dyDescent="0.3">
      <c r="A23" s="34"/>
      <c r="B23" s="4"/>
      <c r="C23" s="4"/>
      <c r="D23" s="8"/>
      <c r="E23" s="9"/>
      <c r="F23" s="9"/>
      <c r="G23" s="4"/>
      <c r="H23" s="4"/>
      <c r="I23" s="4"/>
      <c r="J23" s="4"/>
      <c r="K23" s="4"/>
      <c r="L23" s="4"/>
      <c r="M23" s="4"/>
      <c r="N23" s="4"/>
      <c r="O23" s="4"/>
      <c r="P23" s="4"/>
      <c r="Q23" s="4"/>
      <c r="R23" s="4"/>
      <c r="S23" s="15"/>
      <c r="T23" s="8"/>
      <c r="U23" s="8"/>
      <c r="V23" s="9"/>
      <c r="W23" s="15"/>
      <c r="X23" s="8"/>
      <c r="Y23" s="8"/>
      <c r="Z23" s="9"/>
      <c r="AA23" s="4"/>
      <c r="AB23" s="4"/>
      <c r="AC23" s="9"/>
      <c r="AD23" s="9"/>
      <c r="AE23" s="9"/>
      <c r="AF23" s="9"/>
      <c r="AG23" s="9"/>
      <c r="AH23" s="9"/>
      <c r="AI23" s="9"/>
      <c r="AJ23" s="9"/>
      <c r="AK23" s="9"/>
      <c r="AL23" s="9"/>
      <c r="AM23" s="9"/>
      <c r="AN23" s="9"/>
      <c r="AO23" s="4"/>
      <c r="AP23" s="4"/>
      <c r="AQ23" s="4"/>
      <c r="AR23" s="9"/>
      <c r="AS23" s="9"/>
      <c r="AT23" s="9"/>
      <c r="AU23" s="4"/>
      <c r="AV23" s="4"/>
      <c r="AW23" s="4"/>
      <c r="AX23" s="8"/>
      <c r="AY23" s="8"/>
      <c r="AZ23" s="8"/>
      <c r="BA23" s="13"/>
      <c r="BB23" s="9"/>
      <c r="BC23" s="9"/>
      <c r="BD23" s="9"/>
      <c r="BE23" s="2"/>
      <c r="BF23" s="2"/>
      <c r="BG23" s="2"/>
      <c r="BH23" s="2"/>
      <c r="BI23" s="2"/>
      <c r="BJ23" s="2"/>
      <c r="BK23" s="2"/>
      <c r="BL23" s="2"/>
      <c r="BM23" s="2"/>
      <c r="BN23" s="2"/>
    </row>
    <row r="24" spans="1:66" x14ac:dyDescent="0.3">
      <c r="A24" s="34"/>
      <c r="B24" s="4"/>
      <c r="C24" s="4"/>
      <c r="D24" s="8"/>
      <c r="E24" s="9"/>
      <c r="F24" s="9"/>
      <c r="G24" s="4"/>
      <c r="H24" s="4"/>
      <c r="I24" s="4"/>
      <c r="J24" s="4"/>
      <c r="K24" s="4"/>
      <c r="L24" s="4"/>
      <c r="M24" s="4"/>
      <c r="N24" s="4"/>
      <c r="O24" s="4"/>
      <c r="P24" s="4"/>
      <c r="Q24" s="4"/>
      <c r="R24" s="4"/>
      <c r="S24" s="15"/>
      <c r="T24" s="8"/>
      <c r="U24" s="8"/>
      <c r="V24" s="9"/>
      <c r="W24" s="15"/>
      <c r="X24" s="8"/>
      <c r="Y24" s="8"/>
      <c r="Z24" s="9"/>
      <c r="AA24" s="4"/>
      <c r="AB24" s="4"/>
      <c r="AC24" s="9"/>
      <c r="AD24" s="9"/>
      <c r="AE24" s="9"/>
      <c r="AF24" s="9"/>
      <c r="AG24" s="9"/>
      <c r="AH24" s="9"/>
      <c r="AI24" s="9"/>
      <c r="AJ24" s="9"/>
      <c r="AK24" s="9"/>
      <c r="AL24" s="9"/>
      <c r="AM24" s="9"/>
      <c r="AN24" s="9"/>
      <c r="AO24" s="4"/>
      <c r="AP24" s="4"/>
      <c r="AQ24" s="4"/>
      <c r="AR24" s="9"/>
      <c r="AS24" s="9"/>
      <c r="AT24" s="9"/>
      <c r="AU24" s="4"/>
      <c r="AV24" s="4"/>
      <c r="AW24" s="4"/>
      <c r="AX24" s="8"/>
      <c r="AY24" s="8"/>
      <c r="AZ24" s="8"/>
      <c r="BA24" s="13"/>
      <c r="BB24" s="9"/>
      <c r="BC24" s="9"/>
      <c r="BD24" s="9"/>
      <c r="BE24" s="2"/>
      <c r="BF24" s="2"/>
      <c r="BG24" s="2"/>
      <c r="BH24" s="2"/>
      <c r="BI24" s="2"/>
      <c r="BJ24" s="2"/>
      <c r="BK24" s="2"/>
      <c r="BL24" s="2"/>
      <c r="BM24" s="2"/>
      <c r="BN24" s="2"/>
    </row>
  </sheetData>
  <autoFilter ref="A3:BE3" xr:uid="{71CEAC37-25C9-489B-996F-EDDF08F934E7}"/>
  <mergeCells count="4">
    <mergeCell ref="G2:R2"/>
    <mergeCell ref="AJ2:AN2"/>
    <mergeCell ref="AO2:AT2"/>
    <mergeCell ref="AU2:AW2"/>
  </mergeCells>
  <conditionalFormatting sqref="H4:R24">
    <cfRule type="expression" dxfId="11" priority="8">
      <formula>$G4&lt;&gt;"Ya"</formula>
    </cfRule>
  </conditionalFormatting>
  <conditionalFormatting sqref="AP4:AR24">
    <cfRule type="expression" dxfId="10" priority="7">
      <formula>$AO4&lt;&gt;"Ya"</formula>
    </cfRule>
  </conditionalFormatting>
  <conditionalFormatting sqref="AS4:AT24">
    <cfRule type="expression" dxfId="9" priority="6">
      <formula>$AO4&lt;&gt;"Tidak"</formula>
    </cfRule>
  </conditionalFormatting>
  <conditionalFormatting sqref="AU4:AX24">
    <cfRule type="expression" dxfId="8" priority="5">
      <formula>$AO4&lt;&gt;"Ya"</formula>
    </cfRule>
  </conditionalFormatting>
  <conditionalFormatting sqref="AJ4:AJ24">
    <cfRule type="expression" dxfId="7" priority="4">
      <formula>$A4&lt;&gt;""</formula>
    </cfRule>
  </conditionalFormatting>
  <conditionalFormatting sqref="AJ4:AJ24">
    <cfRule type="expression" dxfId="6" priority="3">
      <formula>$A4=""</formula>
    </cfRule>
  </conditionalFormatting>
  <conditionalFormatting sqref="AM4:AN24">
    <cfRule type="expression" dxfId="5" priority="2">
      <formula>$A4&lt;&gt;""</formula>
    </cfRule>
  </conditionalFormatting>
  <conditionalFormatting sqref="AM4:AN24">
    <cfRule type="expression" dxfId="4" priority="1">
      <formula>$A4=""</formula>
    </cfRule>
  </conditionalFormatting>
  <dataValidations count="8">
    <dataValidation type="date" allowBlank="1" showInputMessage="1" showErrorMessage="1" sqref="AX4:AX24 D4:D24" xr:uid="{E65249AC-E7FB-46B6-8BDF-2B9D2437BF57}">
      <formula1>45292</formula1>
      <formula2>46023</formula2>
    </dataValidation>
    <dataValidation type="list" allowBlank="1" showInputMessage="1" showErrorMessage="1" sqref="V4:V24" xr:uid="{EBB37C57-AA99-4B53-8FBF-E9256692611E}">
      <formula1>hasil_hiv</formula1>
    </dataValidation>
    <dataValidation type="list" allowBlank="1" showInputMessage="1" showErrorMessage="1" sqref="Z4:Z24" xr:uid="{E8F690C9-5225-4A82-9ACA-D405ADF078F7}">
      <formula1>hasil_sifilis</formula1>
    </dataValidation>
    <dataValidation type="list" allowBlank="1" showInputMessage="1" showErrorMessage="1" sqref="AU4:AW24 AA4:AB24 B4:B24 AO4:AO24 G4:R24" xr:uid="{0CFB0BD4-4EA5-4EDC-8962-E64DC67BAA2A}">
      <formula1>ya_tdk</formula1>
    </dataValidation>
    <dataValidation type="list" allowBlank="1" showInputMessage="1" showErrorMessage="1" sqref="AF4:AF24" xr:uid="{34FE1768-508D-4DDC-B754-AE30EF356CDF}">
      <formula1>kehamilan</formula1>
    </dataValidation>
    <dataValidation type="list" allowBlank="1" showInputMessage="1" showErrorMessage="1" sqref="AQ4:AQ24" xr:uid="{D0576AD5-D46E-4BA9-8C90-34EF2569AF59}">
      <formula1>rejimen_prep</formula1>
    </dataValidation>
    <dataValidation type="list" allowBlank="1" showInputMessage="1" showErrorMessage="1" sqref="AP4:AP24" xr:uid="{D6C18E74-3625-4C14-8589-8178B2D4EAED}">
      <formula1>metode_prep_kunjungan</formula1>
    </dataValidation>
    <dataValidation type="list" allowBlank="1" showInputMessage="1" showErrorMessage="1" sqref="AS4:AS24" xr:uid="{C05A953B-FF68-4070-9CA9-10544E886B18}">
      <formula1>stop_prep</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714AE-1BC1-41C8-9E5F-3E2278FBD5AE}">
  <sheetPr codeName="Sheet9"/>
  <dimension ref="A1:L20"/>
  <sheetViews>
    <sheetView showGridLines="0" showRowColHeaders="0" zoomScale="110" zoomScaleNormal="110" workbookViewId="0">
      <pane xSplit="8" ySplit="4" topLeftCell="I5" activePane="bottomRight" state="frozen"/>
      <selection pane="topRight" activeCell="I1" sqref="I1"/>
      <selection pane="bottomLeft" activeCell="A5" sqref="A5"/>
      <selection pane="bottomRight" activeCell="B4" sqref="B4"/>
    </sheetView>
  </sheetViews>
  <sheetFormatPr defaultRowHeight="14.4" x14ac:dyDescent="0.3"/>
  <cols>
    <col min="2" max="2" width="14.21875" customWidth="1"/>
    <col min="3" max="3" width="22.6640625" customWidth="1"/>
    <col min="4" max="4" width="26.77734375" customWidth="1"/>
    <col min="5" max="5" width="26.44140625" customWidth="1"/>
    <col min="6" max="6" width="18.77734375" hidden="1" customWidth="1"/>
    <col min="7" max="8" width="18.77734375" customWidth="1"/>
    <col min="9" max="9" width="17.21875" customWidth="1"/>
    <col min="10" max="10" width="17.33203125" customWidth="1"/>
    <col min="11" max="11" width="12.33203125" customWidth="1"/>
    <col min="12" max="12" width="13.77734375" customWidth="1"/>
  </cols>
  <sheetData>
    <row r="1" spans="1:12" x14ac:dyDescent="0.3">
      <c r="A1" s="1">
        <f>COUNTA(A4:A50000)</f>
        <v>9</v>
      </c>
      <c r="B1" s="1">
        <f>COUNTIF(B4:B50000,"Ya")</f>
        <v>1</v>
      </c>
      <c r="G1" s="1">
        <v>4</v>
      </c>
    </row>
    <row r="2" spans="1:12" x14ac:dyDescent="0.3">
      <c r="G2" s="16"/>
      <c r="H2" s="2"/>
      <c r="I2" s="2" t="str">
        <f>VLOOKUP(MONTH(C2),admin_prep!$A$18:$B$29,2,FALSE)</f>
        <v>Jan</v>
      </c>
      <c r="J2" s="17" t="str" cm="1">
        <f t="array" ref="J2">UnixFromDate(C2)&amp;"000"</f>
        <v>-2209161600000</v>
      </c>
      <c r="K2" s="2"/>
      <c r="L2" s="2">
        <f>YEAR(C2)</f>
        <v>1900</v>
      </c>
    </row>
    <row r="3" spans="1:12" ht="43.2" x14ac:dyDescent="0.3">
      <c r="A3" s="30" t="s">
        <v>0</v>
      </c>
      <c r="B3" s="30" t="s">
        <v>1</v>
      </c>
      <c r="C3" s="30" t="s">
        <v>20</v>
      </c>
      <c r="D3" s="30" t="s">
        <v>8</v>
      </c>
      <c r="E3" s="30" t="s">
        <v>235</v>
      </c>
      <c r="F3" s="3" t="s">
        <v>236</v>
      </c>
      <c r="G3" s="29" t="s">
        <v>237</v>
      </c>
      <c r="H3" s="32" t="s">
        <v>6</v>
      </c>
      <c r="I3" s="31" t="s">
        <v>238</v>
      </c>
      <c r="J3" s="31" t="s">
        <v>21</v>
      </c>
      <c r="K3" s="33" t="s">
        <v>80</v>
      </c>
      <c r="L3" s="31" t="s">
        <v>239</v>
      </c>
    </row>
    <row r="4" spans="1:12" x14ac:dyDescent="0.3">
      <c r="A4" s="34">
        <v>1</v>
      </c>
      <c r="B4" s="4" t="s">
        <v>88</v>
      </c>
      <c r="C4" s="8">
        <v>45639</v>
      </c>
      <c r="D4" s="4" t="s">
        <v>328</v>
      </c>
      <c r="E4" s="4">
        <v>3</v>
      </c>
      <c r="F4" s="8"/>
      <c r="G4" s="16"/>
      <c r="H4" s="2" t="s">
        <v>319</v>
      </c>
      <c r="I4" s="2"/>
      <c r="J4" s="17"/>
      <c r="K4" s="2"/>
      <c r="L4" s="2"/>
    </row>
    <row r="5" spans="1:12" x14ac:dyDescent="0.3">
      <c r="A5" s="34">
        <v>2</v>
      </c>
      <c r="B5" s="4"/>
      <c r="C5" s="8"/>
      <c r="D5" s="4"/>
      <c r="E5" s="4"/>
      <c r="F5" s="8"/>
      <c r="G5" s="16"/>
      <c r="H5" s="2"/>
      <c r="I5" s="2"/>
      <c r="J5" s="17"/>
      <c r="K5" s="2"/>
      <c r="L5" s="2"/>
    </row>
    <row r="6" spans="1:12" x14ac:dyDescent="0.3">
      <c r="A6" s="34">
        <v>3</v>
      </c>
      <c r="B6" s="4"/>
      <c r="C6" s="8"/>
      <c r="D6" s="4"/>
      <c r="E6" s="4"/>
      <c r="F6" s="8"/>
      <c r="G6" s="16"/>
      <c r="H6" s="2"/>
      <c r="I6" s="2"/>
      <c r="J6" s="17"/>
      <c r="K6" s="2"/>
      <c r="L6" s="2"/>
    </row>
    <row r="7" spans="1:12" x14ac:dyDescent="0.3">
      <c r="A7" s="34">
        <v>4</v>
      </c>
      <c r="B7" s="4"/>
      <c r="C7" s="8"/>
      <c r="D7" s="4"/>
      <c r="E7" s="4"/>
      <c r="F7" s="8"/>
      <c r="G7" s="16"/>
      <c r="H7" s="2"/>
      <c r="I7" s="2"/>
      <c r="J7" s="17"/>
      <c r="K7" s="2"/>
      <c r="L7" s="2"/>
    </row>
    <row r="8" spans="1:12" x14ac:dyDescent="0.3">
      <c r="A8" s="34">
        <v>5</v>
      </c>
      <c r="B8" s="4"/>
      <c r="C8" s="8"/>
      <c r="D8" s="4"/>
      <c r="E8" s="4"/>
      <c r="F8" s="8"/>
      <c r="G8" s="16"/>
      <c r="H8" s="2"/>
      <c r="I8" s="2"/>
      <c r="J8" s="17"/>
      <c r="K8" s="2"/>
      <c r="L8" s="2"/>
    </row>
    <row r="9" spans="1:12" x14ac:dyDescent="0.3">
      <c r="A9" s="34">
        <v>6</v>
      </c>
      <c r="B9" s="4"/>
      <c r="C9" s="8"/>
      <c r="D9" s="4"/>
      <c r="E9" s="4"/>
      <c r="F9" s="8"/>
      <c r="G9" s="16"/>
      <c r="H9" s="2"/>
      <c r="I9" s="2"/>
      <c r="J9" s="17"/>
      <c r="K9" s="2"/>
      <c r="L9" s="2"/>
    </row>
    <row r="10" spans="1:12" x14ac:dyDescent="0.3">
      <c r="A10" s="34">
        <v>7</v>
      </c>
      <c r="B10" s="4"/>
      <c r="C10" s="8"/>
      <c r="D10" s="4"/>
      <c r="E10" s="4"/>
      <c r="F10" s="8"/>
      <c r="G10" s="16"/>
      <c r="H10" s="2"/>
      <c r="I10" s="2"/>
      <c r="J10" s="17"/>
      <c r="K10" s="2"/>
      <c r="L10" s="2"/>
    </row>
    <row r="11" spans="1:12" x14ac:dyDescent="0.3">
      <c r="A11" s="34">
        <v>8</v>
      </c>
      <c r="B11" s="4"/>
      <c r="C11" s="8"/>
      <c r="D11" s="4"/>
      <c r="E11" s="4"/>
      <c r="F11" s="8"/>
      <c r="G11" s="16"/>
      <c r="H11" s="2"/>
      <c r="I11" s="2"/>
      <c r="J11" s="2"/>
      <c r="K11" s="2"/>
      <c r="L11" s="2"/>
    </row>
    <row r="12" spans="1:12" x14ac:dyDescent="0.3">
      <c r="A12" s="34">
        <v>9</v>
      </c>
      <c r="B12" s="4"/>
      <c r="C12" s="8"/>
      <c r="D12" s="4"/>
      <c r="E12" s="4"/>
      <c r="F12" s="8"/>
      <c r="G12" s="16"/>
      <c r="H12" s="2"/>
      <c r="I12" s="2"/>
      <c r="J12" s="2"/>
      <c r="K12" s="2"/>
      <c r="L12" s="2"/>
    </row>
    <row r="13" spans="1:12" x14ac:dyDescent="0.3">
      <c r="A13" s="34"/>
      <c r="B13" s="4"/>
      <c r="C13" s="8"/>
      <c r="D13" s="4"/>
      <c r="E13" s="4"/>
      <c r="F13" s="8"/>
      <c r="G13" s="16"/>
      <c r="H13" s="2"/>
      <c r="I13" s="2"/>
      <c r="J13" s="2"/>
      <c r="K13" s="2"/>
      <c r="L13" s="2"/>
    </row>
    <row r="14" spans="1:12" x14ac:dyDescent="0.3">
      <c r="A14" s="34"/>
      <c r="B14" s="4"/>
      <c r="C14" s="8"/>
      <c r="D14" s="4"/>
      <c r="E14" s="4"/>
      <c r="F14" s="8"/>
      <c r="G14" s="16"/>
      <c r="H14" s="2"/>
      <c r="I14" s="2"/>
      <c r="J14" s="2"/>
      <c r="K14" s="2"/>
      <c r="L14" s="2"/>
    </row>
    <row r="15" spans="1:12" x14ac:dyDescent="0.3">
      <c r="A15" s="34"/>
      <c r="B15" s="4"/>
      <c r="C15" s="8"/>
      <c r="D15" s="4"/>
      <c r="E15" s="4"/>
      <c r="F15" s="8"/>
      <c r="G15" s="16"/>
      <c r="H15" s="2"/>
      <c r="I15" s="2"/>
      <c r="J15" s="2"/>
      <c r="K15" s="2"/>
      <c r="L15" s="2"/>
    </row>
    <row r="16" spans="1:12" x14ac:dyDescent="0.3">
      <c r="A16" s="34"/>
      <c r="B16" s="4"/>
      <c r="C16" s="8"/>
      <c r="D16" s="4"/>
      <c r="E16" s="4"/>
      <c r="F16" s="8"/>
      <c r="G16" s="16"/>
      <c r="H16" s="2"/>
      <c r="I16" s="2"/>
      <c r="J16" s="2"/>
      <c r="K16" s="2"/>
      <c r="L16" s="2"/>
    </row>
    <row r="17" spans="1:12" x14ac:dyDescent="0.3">
      <c r="A17" s="34"/>
      <c r="B17" s="4"/>
      <c r="C17" s="8"/>
      <c r="D17" s="4"/>
      <c r="E17" s="4"/>
      <c r="F17" s="8"/>
      <c r="G17" s="16"/>
      <c r="H17" s="2"/>
      <c r="I17" s="2"/>
      <c r="J17" s="2"/>
      <c r="K17" s="2"/>
      <c r="L17" s="2"/>
    </row>
    <row r="18" spans="1:12" x14ac:dyDescent="0.3">
      <c r="A18" s="34"/>
      <c r="B18" s="4"/>
      <c r="C18" s="8"/>
      <c r="D18" s="4"/>
      <c r="E18" s="4"/>
      <c r="F18" s="8"/>
      <c r="G18" s="16"/>
      <c r="H18" s="2"/>
      <c r="I18" s="2"/>
      <c r="J18" s="2"/>
      <c r="K18" s="2"/>
      <c r="L18" s="2"/>
    </row>
    <row r="19" spans="1:12" x14ac:dyDescent="0.3">
      <c r="A19" s="34"/>
      <c r="B19" s="4"/>
      <c r="C19" s="8"/>
      <c r="D19" s="4"/>
      <c r="E19" s="4"/>
      <c r="F19" s="8"/>
      <c r="G19" s="16"/>
      <c r="H19" s="2"/>
      <c r="I19" s="2"/>
      <c r="J19" s="2"/>
      <c r="K19" s="2"/>
      <c r="L19" s="2"/>
    </row>
    <row r="20" spans="1:12" x14ac:dyDescent="0.3">
      <c r="A20" s="34"/>
      <c r="B20" s="4"/>
      <c r="C20" s="8"/>
      <c r="D20" s="4"/>
      <c r="E20" s="4"/>
      <c r="F20" s="8"/>
      <c r="G20" s="16"/>
      <c r="H20" s="2"/>
      <c r="I20" s="2"/>
      <c r="J20" s="2"/>
      <c r="K20" s="2"/>
      <c r="L20" s="2"/>
    </row>
  </sheetData>
  <autoFilter ref="A3:H3" xr:uid="{DD2714AE-1BC1-41C8-9E5F-3E2278FBD5AE}"/>
  <dataValidations count="5">
    <dataValidation type="list" allowBlank="1" showInputMessage="1" showErrorMessage="1" sqref="F4:F20" xr:uid="{1A241EF4-AC94-4392-9D78-7885CF356868}">
      <formula1>simpan_final</formula1>
    </dataValidation>
    <dataValidation type="whole" allowBlank="1" showInputMessage="1" showErrorMessage="1" errorTitle="Error Jumlah Obat" error="Jumlah Obat hanya bisa isi 1-5 botol" sqref="E4" xr:uid="{DBCB32F4-AD73-456A-B971-1E7AF912C273}">
      <formula1>1</formula1>
      <formula2>5</formula2>
    </dataValidation>
    <dataValidation type="whole" allowBlank="1" showInputMessage="1" showErrorMessage="1" sqref="E5:E20" xr:uid="{8DB94F2C-B76D-491D-9B4A-0EDB16F27589}">
      <formula1>1</formula1>
      <formula2>5</formula2>
    </dataValidation>
    <dataValidation type="list" allowBlank="1" showInputMessage="1" showErrorMessage="1" sqref="B4:B20" xr:uid="{C96DF8CB-4F91-489D-997B-42D0F90AC9C8}">
      <formula1>ya_tdk</formula1>
    </dataValidation>
    <dataValidation type="date" allowBlank="1" showInputMessage="1" showErrorMessage="1" sqref="C4:C20" xr:uid="{446F784F-D71D-46BA-A107-93051935ADC5}">
      <formula1>45292</formula1>
      <formula2>46023</formula2>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38AC9-2523-4AFB-B202-7DF5022C9DEF}">
  <sheetPr codeName="Sheet11"/>
  <dimension ref="A2:Z80"/>
  <sheetViews>
    <sheetView showGridLines="0" showRowColHeaders="0" tabSelected="1" zoomScale="108" zoomScaleNormal="108" workbookViewId="0">
      <pane xSplit="25" ySplit="86" topLeftCell="Z87" activePane="bottomRight" state="frozen"/>
      <selection pane="topRight" activeCell="Z1" sqref="Z1"/>
      <selection pane="bottomLeft" activeCell="A87" sqref="A87"/>
      <selection pane="bottomRight" activeCell="B4" sqref="B4:C4"/>
    </sheetView>
  </sheetViews>
  <sheetFormatPr defaultColWidth="0" defaultRowHeight="14.4" x14ac:dyDescent="0.3"/>
  <cols>
    <col min="1" max="1" width="2.109375" customWidth="1"/>
    <col min="2" max="2" width="1.6640625" customWidth="1"/>
    <col min="3" max="3" width="15.77734375" customWidth="1"/>
    <col min="4" max="4" width="1.77734375" customWidth="1"/>
    <col min="5" max="5" width="15.77734375" customWidth="1"/>
    <col min="6" max="7" width="1.77734375" customWidth="1"/>
    <col min="8" max="8" width="15.77734375" customWidth="1"/>
    <col min="9" max="10" width="1.77734375" customWidth="1"/>
    <col min="11" max="11" width="15.77734375" customWidth="1"/>
    <col min="12" max="12" width="1.77734375" customWidth="1"/>
    <col min="13" max="13" width="15.77734375" customWidth="1"/>
    <col min="14" max="14" width="1.77734375" customWidth="1"/>
    <col min="15" max="15" width="15.77734375" customWidth="1"/>
    <col min="16" max="16" width="1.77734375" customWidth="1"/>
    <col min="17" max="17" width="15.77734375" customWidth="1"/>
    <col min="18" max="18" width="1.77734375" customWidth="1"/>
    <col min="19" max="19" width="15.77734375" customWidth="1"/>
    <col min="20" max="20" width="1.77734375" customWidth="1"/>
    <col min="21" max="21" width="15.77734375" customWidth="1"/>
    <col min="22" max="22" width="1.77734375" customWidth="1"/>
    <col min="23" max="23" width="15.77734375" customWidth="1"/>
    <col min="24" max="24" width="1.77734375" customWidth="1"/>
    <col min="25" max="25" width="8.88671875" customWidth="1"/>
    <col min="26" max="26" width="2.5546875" customWidth="1"/>
    <col min="27" max="16384" width="8.88671875" hidden="1"/>
  </cols>
  <sheetData>
    <row r="2" spans="2:24" ht="72.599999999999994" customHeight="1" x14ac:dyDescent="0.3">
      <c r="B2" s="47" t="s">
        <v>346</v>
      </c>
      <c r="C2" s="47"/>
      <c r="D2" s="53" t="s">
        <v>313</v>
      </c>
      <c r="E2" s="53"/>
      <c r="F2" s="53"/>
      <c r="G2" s="53"/>
      <c r="H2" s="53"/>
      <c r="I2" s="53"/>
      <c r="J2" s="53"/>
      <c r="K2" s="53"/>
      <c r="L2" s="53"/>
      <c r="M2" s="53"/>
      <c r="N2" s="53"/>
      <c r="O2" s="53"/>
      <c r="P2" s="53"/>
      <c r="Q2" s="53"/>
      <c r="R2" s="53"/>
      <c r="S2" s="53"/>
      <c r="T2" s="53"/>
      <c r="U2" s="53"/>
      <c r="V2" s="53"/>
      <c r="W2" s="35"/>
      <c r="X2" s="35"/>
    </row>
    <row r="3" spans="2:24" ht="15" thickBot="1" x14ac:dyDescent="0.35"/>
    <row r="4" spans="2:24" ht="18.600000000000001" customHeight="1" thickBot="1" x14ac:dyDescent="0.35">
      <c r="B4" s="50" t="s">
        <v>304</v>
      </c>
      <c r="C4" s="49"/>
      <c r="E4" s="48" t="s">
        <v>316</v>
      </c>
      <c r="F4" s="51"/>
      <c r="H4" s="48" t="s">
        <v>317</v>
      </c>
      <c r="I4" s="52"/>
    </row>
    <row r="5" spans="2:24" ht="4.95" hidden="1" customHeight="1" thickBot="1" x14ac:dyDescent="0.35">
      <c r="B5" s="46"/>
      <c r="C5" s="46"/>
      <c r="E5" s="46"/>
      <c r="F5" s="46"/>
      <c r="H5" s="46"/>
      <c r="I5" s="46"/>
    </row>
    <row r="6" spans="2:24" hidden="1" x14ac:dyDescent="0.3">
      <c r="B6" s="18"/>
      <c r="C6" s="19"/>
      <c r="D6" s="19"/>
      <c r="E6" s="19"/>
      <c r="F6" s="19"/>
      <c r="G6" s="19"/>
      <c r="H6" s="19"/>
      <c r="I6" s="19"/>
      <c r="J6" s="19"/>
      <c r="K6" s="19"/>
      <c r="L6" s="19"/>
      <c r="M6" s="19"/>
      <c r="N6" s="19"/>
      <c r="O6" s="19"/>
      <c r="P6" s="19"/>
      <c r="Q6" s="19"/>
      <c r="R6" s="19"/>
      <c r="S6" s="19"/>
      <c r="T6" s="19"/>
      <c r="U6" s="19"/>
      <c r="V6" s="19"/>
      <c r="W6" s="19"/>
      <c r="X6" s="20"/>
    </row>
    <row r="7" spans="2:24" hidden="1" x14ac:dyDescent="0.3">
      <c r="B7" s="21"/>
      <c r="C7" s="54" t="s">
        <v>345</v>
      </c>
      <c r="D7" s="54"/>
      <c r="E7" s="54"/>
      <c r="F7" s="54"/>
      <c r="G7" s="54"/>
      <c r="H7" s="54"/>
      <c r="I7" s="54"/>
      <c r="J7" s="54"/>
      <c r="K7" s="54"/>
      <c r="L7" s="54"/>
      <c r="M7" s="54"/>
      <c r="N7" s="54"/>
      <c r="O7" s="54"/>
      <c r="P7" s="54"/>
      <c r="Q7" s="54"/>
      <c r="R7" s="54"/>
      <c r="S7" s="54"/>
      <c r="T7" s="54"/>
      <c r="U7" s="54"/>
      <c r="V7" s="54"/>
      <c r="W7" s="54"/>
      <c r="X7" s="22"/>
    </row>
    <row r="8" spans="2:24" hidden="1" x14ac:dyDescent="0.3">
      <c r="B8" s="21"/>
      <c r="C8" s="54"/>
      <c r="D8" s="54"/>
      <c r="E8" s="54"/>
      <c r="F8" s="54"/>
      <c r="G8" s="54"/>
      <c r="H8" s="54"/>
      <c r="I8" s="54"/>
      <c r="J8" s="54"/>
      <c r="K8" s="54"/>
      <c r="L8" s="54"/>
      <c r="M8" s="54"/>
      <c r="N8" s="54"/>
      <c r="O8" s="54"/>
      <c r="P8" s="54"/>
      <c r="Q8" s="54"/>
      <c r="R8" s="54"/>
      <c r="S8" s="54"/>
      <c r="T8" s="54"/>
      <c r="U8" s="54"/>
      <c r="V8" s="54"/>
      <c r="W8" s="54"/>
      <c r="X8" s="22"/>
    </row>
    <row r="9" spans="2:24" hidden="1" x14ac:dyDescent="0.3">
      <c r="B9" s="21"/>
      <c r="C9" s="23"/>
      <c r="D9" s="23"/>
      <c r="E9" s="23"/>
      <c r="F9" s="23"/>
      <c r="G9" s="23"/>
      <c r="H9" s="23"/>
      <c r="I9" s="23"/>
      <c r="J9" s="23"/>
      <c r="K9" s="23"/>
      <c r="L9" s="23"/>
      <c r="M9" s="23"/>
      <c r="N9" s="23"/>
      <c r="O9" s="23"/>
      <c r="P9" s="23"/>
      <c r="Q9" s="23"/>
      <c r="R9" s="23"/>
      <c r="S9" s="23"/>
      <c r="T9" s="23"/>
      <c r="U9" s="23"/>
      <c r="V9" s="23"/>
      <c r="W9" s="23"/>
      <c r="X9" s="22"/>
    </row>
    <row r="10" spans="2:24" hidden="1" x14ac:dyDescent="0.3">
      <c r="B10" s="21"/>
      <c r="C10" s="23" t="str">
        <f>"Versi aplikasi ini adalah "&amp;$B$2&amp;" yang dikeluarkan pada tanggal 25 September 2025. Update fitur pada versi ini bisa diakses di menu 'Version History'"</f>
        <v>Versi aplikasi ini adalah Version 
2.3 yang dikeluarkan pada tanggal 25 September 2025. Update fitur pada versi ini bisa diakses di menu 'Version History'</v>
      </c>
      <c r="D10" s="23"/>
      <c r="E10" s="23"/>
      <c r="F10" s="23"/>
      <c r="G10" s="23"/>
      <c r="H10" s="23"/>
      <c r="I10" s="23"/>
      <c r="J10" s="23"/>
      <c r="K10" s="23"/>
      <c r="L10" s="23"/>
      <c r="M10" s="23"/>
      <c r="N10" s="23"/>
      <c r="O10" s="23"/>
      <c r="P10" s="23"/>
      <c r="Q10" s="23"/>
      <c r="R10" s="23"/>
      <c r="S10" s="23"/>
      <c r="T10" s="23"/>
      <c r="U10" s="23"/>
      <c r="V10" s="23"/>
      <c r="W10" s="23"/>
      <c r="X10" s="22"/>
    </row>
    <row r="11" spans="2:24" hidden="1" x14ac:dyDescent="0.3">
      <c r="B11" s="21"/>
      <c r="C11" s="23"/>
      <c r="D11" s="23"/>
      <c r="E11" s="23"/>
      <c r="F11" s="23"/>
      <c r="G11" s="23"/>
      <c r="H11" s="23"/>
      <c r="I11" s="23"/>
      <c r="J11" s="23"/>
      <c r="K11" s="23"/>
      <c r="L11" s="23"/>
      <c r="M11" s="23"/>
      <c r="N11" s="23"/>
      <c r="O11" s="23"/>
      <c r="P11" s="23"/>
      <c r="Q11" s="23"/>
      <c r="R11" s="23"/>
      <c r="S11" s="23"/>
      <c r="T11" s="23"/>
      <c r="U11" s="23"/>
      <c r="V11" s="23"/>
      <c r="W11" s="23"/>
      <c r="X11" s="22"/>
    </row>
    <row r="12" spans="2:24" hidden="1" x14ac:dyDescent="0.3">
      <c r="B12" s="21"/>
      <c r="C12" s="23" t="s">
        <v>308</v>
      </c>
      <c r="D12" s="23"/>
      <c r="E12" s="23"/>
      <c r="F12" s="23"/>
      <c r="G12" s="23"/>
      <c r="H12" s="23"/>
      <c r="I12" s="23"/>
      <c r="J12" s="23"/>
      <c r="K12" s="23"/>
      <c r="L12" s="23"/>
      <c r="M12" s="23"/>
      <c r="N12" s="23"/>
      <c r="O12" s="23"/>
      <c r="P12" s="23"/>
      <c r="Q12" s="23"/>
      <c r="R12" s="23"/>
      <c r="S12" s="23"/>
      <c r="T12" s="23"/>
      <c r="U12" s="23"/>
      <c r="V12" s="23"/>
      <c r="W12" s="23"/>
      <c r="X12" s="22"/>
    </row>
    <row r="13" spans="2:24" hidden="1" x14ac:dyDescent="0.3">
      <c r="B13" s="21"/>
      <c r="C13" s="23"/>
      <c r="D13" s="23"/>
      <c r="E13" s="23"/>
      <c r="F13" s="23"/>
      <c r="G13" s="23"/>
      <c r="H13" s="23"/>
      <c r="I13" s="23"/>
      <c r="J13" s="23"/>
      <c r="K13" s="23"/>
      <c r="L13" s="23"/>
      <c r="M13" s="23"/>
      <c r="N13" s="23"/>
      <c r="O13" s="23"/>
      <c r="P13" s="23"/>
      <c r="Q13" s="23"/>
      <c r="R13" s="23"/>
      <c r="S13" s="23"/>
      <c r="T13" s="23"/>
      <c r="U13" s="23"/>
      <c r="V13" s="23"/>
      <c r="W13" s="23"/>
      <c r="X13" s="22"/>
    </row>
    <row r="14" spans="2:24" hidden="1" x14ac:dyDescent="0.3">
      <c r="B14" s="21"/>
      <c r="C14" s="23"/>
      <c r="D14" s="23"/>
      <c r="E14" s="23"/>
      <c r="F14" s="23"/>
      <c r="G14" s="23"/>
      <c r="H14" s="23"/>
      <c r="I14" s="23"/>
      <c r="J14" s="23"/>
      <c r="K14" s="23"/>
      <c r="L14" s="23"/>
      <c r="M14" s="23"/>
      <c r="N14" s="23"/>
      <c r="O14" s="23"/>
      <c r="P14" s="23"/>
      <c r="Q14" s="23"/>
      <c r="R14" s="23"/>
      <c r="S14" s="23"/>
      <c r="T14" s="23"/>
      <c r="U14" s="23"/>
      <c r="V14" s="23"/>
      <c r="W14" s="23"/>
      <c r="X14" s="22"/>
    </row>
    <row r="15" spans="2:24" hidden="1" x14ac:dyDescent="0.3">
      <c r="B15" s="21"/>
      <c r="C15" s="23"/>
      <c r="D15" s="23"/>
      <c r="E15" s="23"/>
      <c r="F15" s="23"/>
      <c r="G15" s="23"/>
      <c r="H15" s="23"/>
      <c r="I15" s="23"/>
      <c r="J15" s="23"/>
      <c r="K15" s="23"/>
      <c r="L15" s="23"/>
      <c r="M15" s="23"/>
      <c r="N15" s="23"/>
      <c r="O15" s="23"/>
      <c r="P15" s="23"/>
      <c r="Q15" s="23"/>
      <c r="R15" s="23"/>
      <c r="S15" s="23"/>
      <c r="T15" s="23"/>
      <c r="U15" s="23"/>
      <c r="V15" s="23"/>
      <c r="W15" s="23"/>
      <c r="X15" s="22"/>
    </row>
    <row r="16" spans="2:24" hidden="1" x14ac:dyDescent="0.3">
      <c r="B16" s="21"/>
      <c r="C16" s="23"/>
      <c r="D16" s="23"/>
      <c r="E16" s="23"/>
      <c r="F16" s="23"/>
      <c r="G16" s="23"/>
      <c r="H16" s="23"/>
      <c r="I16" s="23"/>
      <c r="J16" s="23"/>
      <c r="K16" s="23"/>
      <c r="L16" s="23"/>
      <c r="M16" s="23"/>
      <c r="N16" s="23"/>
      <c r="O16" s="23"/>
      <c r="P16" s="23"/>
      <c r="Q16" s="23"/>
      <c r="R16" s="23"/>
      <c r="S16" s="23"/>
      <c r="T16" s="23"/>
      <c r="U16" s="23"/>
      <c r="V16" s="23"/>
      <c r="W16" s="23"/>
      <c r="X16" s="22"/>
    </row>
    <row r="17" spans="2:24" hidden="1" x14ac:dyDescent="0.3">
      <c r="B17" s="21"/>
      <c r="C17" s="23"/>
      <c r="D17" s="23"/>
      <c r="E17" s="23"/>
      <c r="F17" s="23"/>
      <c r="G17" s="23"/>
      <c r="H17" s="23"/>
      <c r="I17" s="23"/>
      <c r="J17" s="23"/>
      <c r="K17" s="23"/>
      <c r="L17" s="23"/>
      <c r="M17" s="23"/>
      <c r="N17" s="23"/>
      <c r="O17" s="23"/>
      <c r="P17" s="23"/>
      <c r="Q17" s="23"/>
      <c r="R17" s="23"/>
      <c r="S17" s="23"/>
      <c r="T17" s="23"/>
      <c r="U17" s="23"/>
      <c r="V17" s="23"/>
      <c r="W17" s="23"/>
      <c r="X17" s="22"/>
    </row>
    <row r="18" spans="2:24" hidden="1" x14ac:dyDescent="0.3">
      <c r="B18" s="21"/>
      <c r="C18" s="23"/>
      <c r="D18" s="23"/>
      <c r="E18" s="23"/>
      <c r="F18" s="23"/>
      <c r="G18" s="23"/>
      <c r="H18" s="23"/>
      <c r="I18" s="23"/>
      <c r="J18" s="23"/>
      <c r="K18" s="23"/>
      <c r="L18" s="23"/>
      <c r="M18" s="23"/>
      <c r="N18" s="23"/>
      <c r="O18" s="23"/>
      <c r="P18" s="23"/>
      <c r="Q18" s="23"/>
      <c r="R18" s="23"/>
      <c r="S18" s="23"/>
      <c r="T18" s="23"/>
      <c r="U18" s="23"/>
      <c r="V18" s="23"/>
      <c r="W18" s="23"/>
      <c r="X18" s="22"/>
    </row>
    <row r="19" spans="2:24" hidden="1" x14ac:dyDescent="0.3">
      <c r="B19" s="21"/>
      <c r="C19" s="23"/>
      <c r="D19" s="23"/>
      <c r="E19" s="23"/>
      <c r="F19" s="23"/>
      <c r="G19" s="23"/>
      <c r="H19" s="23"/>
      <c r="I19" s="23"/>
      <c r="J19" s="23"/>
      <c r="K19" s="23"/>
      <c r="L19" s="23"/>
      <c r="M19" s="23"/>
      <c r="N19" s="23"/>
      <c r="O19" s="23"/>
      <c r="P19" s="23"/>
      <c r="Q19" s="23"/>
      <c r="R19" s="23"/>
      <c r="S19" s="23"/>
      <c r="T19" s="23"/>
      <c r="U19" s="23"/>
      <c r="V19" s="23"/>
      <c r="W19" s="23"/>
      <c r="X19" s="22"/>
    </row>
    <row r="20" spans="2:24" hidden="1" x14ac:dyDescent="0.3">
      <c r="B20" s="21"/>
      <c r="C20" s="23"/>
      <c r="D20" s="23"/>
      <c r="E20" s="23"/>
      <c r="F20" s="23"/>
      <c r="G20" s="23"/>
      <c r="H20" s="23"/>
      <c r="I20" s="23"/>
      <c r="J20" s="23"/>
      <c r="K20" s="23"/>
      <c r="L20" s="23"/>
      <c r="M20" s="23"/>
      <c r="N20" s="23"/>
      <c r="O20" s="23"/>
      <c r="P20" s="23"/>
      <c r="Q20" s="23"/>
      <c r="R20" s="23"/>
      <c r="S20" s="23"/>
      <c r="T20" s="23"/>
      <c r="U20" s="23"/>
      <c r="V20" s="23"/>
      <c r="W20" s="23"/>
      <c r="X20" s="22"/>
    </row>
    <row r="21" spans="2:24" ht="15" hidden="1" thickBot="1" x14ac:dyDescent="0.35">
      <c r="B21" s="24"/>
      <c r="C21" s="25"/>
      <c r="D21" s="25"/>
      <c r="E21" s="25"/>
      <c r="F21" s="25"/>
      <c r="G21" s="25"/>
      <c r="H21" s="25"/>
      <c r="I21" s="25"/>
      <c r="J21" s="25"/>
      <c r="K21" s="25"/>
      <c r="L21" s="25"/>
      <c r="M21" s="25"/>
      <c r="N21" s="25"/>
      <c r="O21" s="25"/>
      <c r="P21" s="25"/>
      <c r="Q21" s="25"/>
      <c r="R21" s="25"/>
      <c r="S21" s="25"/>
      <c r="T21" s="25"/>
      <c r="U21" s="25"/>
      <c r="V21" s="25"/>
      <c r="W21" s="25"/>
      <c r="X21" s="26"/>
    </row>
    <row r="22" spans="2:24" hidden="1" x14ac:dyDescent="0.3"/>
    <row r="23" spans="2:24" hidden="1" x14ac:dyDescent="0.3"/>
    <row r="24" spans="2:24" hidden="1" x14ac:dyDescent="0.3"/>
    <row r="25" spans="2:24" hidden="1" x14ac:dyDescent="0.3"/>
    <row r="26" spans="2:24" hidden="1" x14ac:dyDescent="0.3"/>
    <row r="27" spans="2:24" hidden="1" x14ac:dyDescent="0.3"/>
    <row r="28" spans="2:24" hidden="1" x14ac:dyDescent="0.3"/>
    <row r="29" spans="2:24" hidden="1" x14ac:dyDescent="0.3"/>
    <row r="30" spans="2:24" ht="4.95" customHeight="1" thickBot="1" x14ac:dyDescent="0.35"/>
    <row r="31" spans="2:24" x14ac:dyDescent="0.3">
      <c r="B31" s="18"/>
      <c r="C31" s="19"/>
      <c r="D31" s="19"/>
      <c r="E31" s="19"/>
      <c r="F31" s="19"/>
      <c r="G31" s="19"/>
      <c r="H31" s="19"/>
      <c r="I31" s="19"/>
      <c r="J31" s="19"/>
      <c r="K31" s="19"/>
      <c r="L31" s="19"/>
      <c r="M31" s="19"/>
      <c r="N31" s="19"/>
      <c r="O31" s="19"/>
      <c r="P31" s="19"/>
      <c r="Q31" s="19"/>
      <c r="R31" s="19"/>
      <c r="S31" s="19"/>
      <c r="T31" s="19"/>
      <c r="U31" s="19"/>
      <c r="V31" s="19"/>
      <c r="W31" s="19"/>
      <c r="X31" s="20"/>
    </row>
    <row r="32" spans="2:24" x14ac:dyDescent="0.3">
      <c r="B32" s="21"/>
      <c r="C32" s="28"/>
      <c r="D32" s="23"/>
      <c r="E32" s="55"/>
      <c r="F32" s="55"/>
      <c r="G32" s="23"/>
      <c r="H32" s="55"/>
      <c r="I32" s="55"/>
      <c r="J32" s="23"/>
      <c r="K32" s="28"/>
      <c r="L32" s="23"/>
      <c r="M32" s="23"/>
      <c r="N32" s="23"/>
      <c r="O32" s="23"/>
      <c r="P32" s="23"/>
      <c r="Q32" s="23"/>
      <c r="R32" s="23"/>
      <c r="S32" s="23"/>
      <c r="T32" s="23"/>
      <c r="U32" s="23"/>
      <c r="V32" s="23"/>
      <c r="W32" s="23"/>
      <c r="X32" s="22"/>
    </row>
    <row r="33" spans="2:24" x14ac:dyDescent="0.3">
      <c r="B33" s="21"/>
      <c r="C33" s="23"/>
      <c r="D33" s="23"/>
      <c r="E33" s="23"/>
      <c r="F33" s="23"/>
      <c r="G33" s="23"/>
      <c r="H33" s="23"/>
      <c r="I33" s="23"/>
      <c r="J33" s="23"/>
      <c r="K33" s="23"/>
      <c r="L33" s="23"/>
      <c r="M33" s="23"/>
      <c r="N33" s="23"/>
      <c r="O33" s="23"/>
      <c r="P33" s="23"/>
      <c r="Q33" s="23"/>
      <c r="R33" s="23"/>
      <c r="S33" s="23"/>
      <c r="T33" s="23"/>
      <c r="U33" s="23"/>
      <c r="V33" s="23"/>
      <c r="W33" s="23"/>
      <c r="X33" s="22"/>
    </row>
    <row r="34" spans="2:24" x14ac:dyDescent="0.3">
      <c r="B34" s="56"/>
      <c r="C34" s="57"/>
      <c r="D34" s="23"/>
      <c r="E34" s="57"/>
      <c r="F34" s="57"/>
      <c r="G34" s="23"/>
      <c r="H34" s="57"/>
      <c r="I34" s="57"/>
      <c r="J34" s="23"/>
      <c r="K34" s="57"/>
      <c r="L34" s="57"/>
      <c r="M34" s="57"/>
      <c r="N34" s="57"/>
      <c r="O34" s="57"/>
      <c r="P34" s="57"/>
      <c r="Q34" s="57"/>
      <c r="R34" s="57"/>
      <c r="S34" s="23"/>
      <c r="T34" s="23"/>
      <c r="U34" s="23"/>
      <c r="V34" s="23"/>
      <c r="W34" s="23"/>
      <c r="X34" s="22"/>
    </row>
    <row r="35" spans="2:24" x14ac:dyDescent="0.3">
      <c r="B35" s="56"/>
      <c r="C35" s="57"/>
      <c r="D35" s="23"/>
      <c r="E35" s="57"/>
      <c r="F35" s="57"/>
      <c r="G35" s="23"/>
      <c r="H35" s="57"/>
      <c r="I35" s="57"/>
      <c r="J35" s="23"/>
      <c r="K35" s="57"/>
      <c r="L35" s="57"/>
      <c r="M35" s="57"/>
      <c r="N35" s="57"/>
      <c r="O35" s="57"/>
      <c r="P35" s="57"/>
      <c r="Q35" s="57"/>
      <c r="R35" s="57"/>
      <c r="S35" s="23"/>
      <c r="T35" s="23"/>
      <c r="U35" s="23"/>
      <c r="V35" s="23"/>
      <c r="W35" s="23"/>
      <c r="X35" s="22"/>
    </row>
    <row r="36" spans="2:24" x14ac:dyDescent="0.3">
      <c r="B36" s="56"/>
      <c r="C36" s="57"/>
      <c r="D36" s="23"/>
      <c r="E36" s="57"/>
      <c r="F36" s="57"/>
      <c r="G36" s="23"/>
      <c r="H36" s="57"/>
      <c r="I36" s="57"/>
      <c r="J36" s="23"/>
      <c r="K36" s="57"/>
      <c r="L36" s="57"/>
      <c r="M36" s="57"/>
      <c r="N36" s="57"/>
      <c r="O36" s="57"/>
      <c r="P36" s="57"/>
      <c r="Q36" s="57"/>
      <c r="R36" s="57"/>
      <c r="S36" s="23"/>
      <c r="T36" s="23"/>
      <c r="U36" s="23"/>
      <c r="V36" s="23"/>
      <c r="W36" s="23"/>
      <c r="X36" s="22"/>
    </row>
    <row r="37" spans="2:24" x14ac:dyDescent="0.3">
      <c r="B37" s="56"/>
      <c r="C37" s="57"/>
      <c r="D37" s="23"/>
      <c r="E37" s="57"/>
      <c r="F37" s="57"/>
      <c r="G37" s="23"/>
      <c r="H37" s="57"/>
      <c r="I37" s="57"/>
      <c r="J37" s="23"/>
      <c r="K37" s="57"/>
      <c r="L37" s="57"/>
      <c r="M37" s="57"/>
      <c r="N37" s="57"/>
      <c r="O37" s="57"/>
      <c r="P37" s="57"/>
      <c r="Q37" s="57"/>
      <c r="R37" s="57"/>
      <c r="S37" s="23"/>
      <c r="T37" s="23"/>
      <c r="U37" s="23"/>
      <c r="V37" s="23"/>
      <c r="W37" s="23"/>
      <c r="X37" s="22"/>
    </row>
    <row r="38" spans="2:24" x14ac:dyDescent="0.3">
      <c r="B38" s="56"/>
      <c r="C38" s="57"/>
      <c r="D38" s="23"/>
      <c r="E38" s="57"/>
      <c r="F38" s="57"/>
      <c r="G38" s="23"/>
      <c r="H38" s="57"/>
      <c r="I38" s="57"/>
      <c r="J38" s="23"/>
      <c r="K38" s="57"/>
      <c r="L38" s="57"/>
      <c r="M38" s="57"/>
      <c r="N38" s="57"/>
      <c r="O38" s="57"/>
      <c r="P38" s="57"/>
      <c r="Q38" s="57"/>
      <c r="R38" s="57"/>
      <c r="S38" s="23"/>
      <c r="T38" s="23"/>
      <c r="U38" s="23"/>
      <c r="V38" s="23"/>
      <c r="W38" s="23"/>
      <c r="X38" s="22"/>
    </row>
    <row r="39" spans="2:24" x14ac:dyDescent="0.3">
      <c r="B39" s="56"/>
      <c r="C39" s="57"/>
      <c r="D39" s="23"/>
      <c r="E39" s="57"/>
      <c r="F39" s="57"/>
      <c r="G39" s="23"/>
      <c r="H39" s="57"/>
      <c r="I39" s="57"/>
      <c r="J39" s="23"/>
      <c r="K39" s="57"/>
      <c r="L39" s="57"/>
      <c r="M39" s="57"/>
      <c r="N39" s="57"/>
      <c r="O39" s="57"/>
      <c r="P39" s="57"/>
      <c r="Q39" s="57"/>
      <c r="R39" s="57"/>
      <c r="S39" s="23"/>
      <c r="T39" s="23"/>
      <c r="U39" s="23"/>
      <c r="V39" s="23"/>
      <c r="W39" s="23"/>
      <c r="X39" s="22"/>
    </row>
    <row r="40" spans="2:24" x14ac:dyDescent="0.3">
      <c r="B40" s="56"/>
      <c r="C40" s="57"/>
      <c r="D40" s="23"/>
      <c r="E40" s="57"/>
      <c r="F40" s="57"/>
      <c r="G40" s="23"/>
      <c r="H40" s="57"/>
      <c r="I40" s="57"/>
      <c r="J40" s="23"/>
      <c r="K40" s="57"/>
      <c r="L40" s="57"/>
      <c r="M40" s="57"/>
      <c r="N40" s="57"/>
      <c r="O40" s="57"/>
      <c r="P40" s="57"/>
      <c r="Q40" s="57"/>
      <c r="R40" s="57"/>
      <c r="S40" s="23"/>
      <c r="T40" s="23"/>
      <c r="U40" s="23"/>
      <c r="V40" s="23"/>
      <c r="W40" s="23"/>
      <c r="X40" s="22"/>
    </row>
    <row r="41" spans="2:24" x14ac:dyDescent="0.3">
      <c r="B41" s="56"/>
      <c r="C41" s="57"/>
      <c r="D41" s="23"/>
      <c r="E41" s="57"/>
      <c r="F41" s="57"/>
      <c r="G41" s="23"/>
      <c r="H41" s="57"/>
      <c r="I41" s="57"/>
      <c r="J41" s="23"/>
      <c r="K41" s="57"/>
      <c r="L41" s="57"/>
      <c r="M41" s="57"/>
      <c r="N41" s="57"/>
      <c r="O41" s="57"/>
      <c r="P41" s="57"/>
      <c r="Q41" s="57"/>
      <c r="R41" s="57"/>
      <c r="S41" s="23"/>
      <c r="T41" s="23"/>
      <c r="U41" s="23"/>
      <c r="V41" s="23"/>
      <c r="W41" s="23"/>
      <c r="X41" s="22"/>
    </row>
    <row r="42" spans="2:24" x14ac:dyDescent="0.3">
      <c r="B42" s="56"/>
      <c r="C42" s="57"/>
      <c r="D42" s="23"/>
      <c r="E42" s="57"/>
      <c r="F42" s="57"/>
      <c r="G42" s="23"/>
      <c r="H42" s="57"/>
      <c r="I42" s="57"/>
      <c r="J42" s="23"/>
      <c r="K42" s="57"/>
      <c r="L42" s="57"/>
      <c r="M42" s="57"/>
      <c r="N42" s="57"/>
      <c r="O42" s="57"/>
      <c r="P42" s="57"/>
      <c r="Q42" s="57"/>
      <c r="R42" s="57"/>
      <c r="S42" s="23"/>
      <c r="T42" s="23"/>
      <c r="U42" s="23"/>
      <c r="V42" s="23"/>
      <c r="W42" s="23"/>
      <c r="X42" s="22"/>
    </row>
    <row r="43" spans="2:24" x14ac:dyDescent="0.3">
      <c r="B43" s="21"/>
      <c r="C43" s="23"/>
      <c r="D43" s="23"/>
      <c r="E43" s="23"/>
      <c r="F43" s="23"/>
      <c r="G43" s="23"/>
      <c r="H43" s="23"/>
      <c r="I43" s="23"/>
      <c r="J43" s="23"/>
      <c r="K43" s="23"/>
      <c r="L43" s="23"/>
      <c r="M43" s="23"/>
      <c r="N43" s="23"/>
      <c r="O43" s="23"/>
      <c r="P43" s="23"/>
      <c r="Q43" s="23"/>
      <c r="R43" s="23"/>
      <c r="S43" s="23"/>
      <c r="T43" s="23"/>
      <c r="U43" s="23"/>
      <c r="V43" s="23"/>
      <c r="W43" s="23"/>
      <c r="X43" s="22"/>
    </row>
    <row r="44" spans="2:24" x14ac:dyDescent="0.3">
      <c r="B44" s="21"/>
      <c r="C44" s="23"/>
      <c r="D44" s="23"/>
      <c r="E44" s="23"/>
      <c r="F44" s="23"/>
      <c r="G44" s="23"/>
      <c r="H44" s="23"/>
      <c r="I44" s="23"/>
      <c r="J44" s="23"/>
      <c r="K44" s="23"/>
      <c r="L44" s="23"/>
      <c r="M44" s="23"/>
      <c r="N44" s="23"/>
      <c r="O44" s="23"/>
      <c r="P44" s="23"/>
      <c r="Q44" s="23"/>
      <c r="R44" s="23"/>
      <c r="S44" s="23"/>
      <c r="T44" s="23"/>
      <c r="U44" s="23"/>
      <c r="V44" s="23"/>
      <c r="W44" s="23"/>
      <c r="X44" s="22"/>
    </row>
    <row r="45" spans="2:24" x14ac:dyDescent="0.3">
      <c r="B45" s="21"/>
      <c r="C45" s="23"/>
      <c r="D45" s="23"/>
      <c r="E45" s="23"/>
      <c r="F45" s="23"/>
      <c r="G45" s="23"/>
      <c r="H45" s="23"/>
      <c r="I45" s="23"/>
      <c r="J45" s="23"/>
      <c r="K45" s="23"/>
      <c r="L45" s="23"/>
      <c r="M45" s="23"/>
      <c r="N45" s="23"/>
      <c r="O45" s="23"/>
      <c r="P45" s="23"/>
      <c r="Q45" s="23"/>
      <c r="R45" s="23"/>
      <c r="S45" s="23"/>
      <c r="T45" s="23"/>
      <c r="U45" s="23"/>
      <c r="V45" s="23"/>
      <c r="W45" s="23"/>
      <c r="X45" s="22"/>
    </row>
    <row r="46" spans="2:24" ht="15" thickBot="1" x14ac:dyDescent="0.35">
      <c r="B46" s="24"/>
      <c r="C46" s="25"/>
      <c r="D46" s="25"/>
      <c r="E46" s="25"/>
      <c r="F46" s="25"/>
      <c r="G46" s="25"/>
      <c r="H46" s="25"/>
      <c r="I46" s="25"/>
      <c r="J46" s="25"/>
      <c r="K46" s="25"/>
      <c r="L46" s="25"/>
      <c r="M46" s="25"/>
      <c r="N46" s="25"/>
      <c r="O46" s="25"/>
      <c r="P46" s="25"/>
      <c r="Q46" s="25"/>
      <c r="R46" s="25"/>
      <c r="S46" s="25"/>
      <c r="T46" s="25"/>
      <c r="U46" s="25"/>
      <c r="V46" s="25"/>
      <c r="W46" s="25"/>
      <c r="X46" s="26"/>
    </row>
    <row r="47" spans="2:24" hidden="1" x14ac:dyDescent="0.3"/>
    <row r="48" spans="2:24" hidden="1" x14ac:dyDescent="0.3"/>
    <row r="49" spans="2:24" hidden="1" x14ac:dyDescent="0.3"/>
    <row r="50" spans="2:24" hidden="1" x14ac:dyDescent="0.3"/>
    <row r="51" spans="2:24" hidden="1" x14ac:dyDescent="0.3"/>
    <row r="52" spans="2:24" hidden="1" x14ac:dyDescent="0.3"/>
    <row r="53" spans="2:24" hidden="1" x14ac:dyDescent="0.3"/>
    <row r="54" spans="2:24" hidden="1" x14ac:dyDescent="0.3"/>
    <row r="55" spans="2:24" hidden="1" x14ac:dyDescent="0.3"/>
    <row r="56" spans="2:24" hidden="1" x14ac:dyDescent="0.3"/>
    <row r="57" spans="2:24" hidden="1" x14ac:dyDescent="0.3"/>
    <row r="58" spans="2:24" hidden="1" x14ac:dyDescent="0.3"/>
    <row r="59" spans="2:24" hidden="1" x14ac:dyDescent="0.3"/>
    <row r="60" spans="2:24" ht="4.95" hidden="1" customHeight="1" thickBot="1" x14ac:dyDescent="0.35"/>
    <row r="61" spans="2:24" hidden="1" x14ac:dyDescent="0.3">
      <c r="B61" s="18"/>
      <c r="C61" s="19"/>
      <c r="D61" s="19"/>
      <c r="E61" s="19"/>
      <c r="F61" s="19"/>
      <c r="G61" s="19"/>
      <c r="H61" s="19"/>
      <c r="I61" s="19"/>
      <c r="J61" s="19"/>
      <c r="K61" s="19"/>
      <c r="L61" s="19"/>
      <c r="M61" s="19"/>
      <c r="N61" s="19"/>
      <c r="O61" s="19"/>
      <c r="P61" s="19"/>
      <c r="Q61" s="19"/>
      <c r="R61" s="19"/>
      <c r="S61" s="19"/>
      <c r="T61" s="19"/>
      <c r="U61" s="19"/>
      <c r="V61" s="19"/>
      <c r="W61" s="19"/>
      <c r="X61" s="20"/>
    </row>
    <row r="62" spans="2:24" hidden="1" x14ac:dyDescent="0.3">
      <c r="B62" s="21"/>
      <c r="C62" s="23"/>
      <c r="D62" s="23"/>
      <c r="E62" s="23"/>
      <c r="F62" s="23"/>
      <c r="G62" s="23"/>
      <c r="H62" s="23"/>
      <c r="I62" s="23"/>
      <c r="J62" s="23"/>
      <c r="K62" s="23"/>
      <c r="L62" s="23"/>
      <c r="M62" s="23"/>
      <c r="N62" s="23"/>
      <c r="O62" s="23"/>
      <c r="P62" s="23"/>
      <c r="Q62" s="23"/>
      <c r="R62" s="23"/>
      <c r="S62" s="23"/>
      <c r="T62" s="23"/>
      <c r="U62" s="23"/>
      <c r="V62" s="23"/>
      <c r="W62" s="23"/>
      <c r="X62" s="22"/>
    </row>
    <row r="63" spans="2:24" hidden="1" x14ac:dyDescent="0.3">
      <c r="B63" s="21"/>
      <c r="C63" s="23"/>
      <c r="D63" s="23"/>
      <c r="E63" s="23"/>
      <c r="F63" s="23"/>
      <c r="G63" s="23"/>
      <c r="H63" s="23"/>
      <c r="I63" s="23"/>
      <c r="J63" s="23"/>
      <c r="K63" s="23"/>
      <c r="L63" s="23"/>
      <c r="M63" s="23"/>
      <c r="N63" s="23"/>
      <c r="O63" s="23"/>
      <c r="P63" s="23"/>
      <c r="Q63" s="23"/>
      <c r="R63" s="23"/>
      <c r="S63" s="23"/>
      <c r="T63" s="23"/>
      <c r="U63" s="23"/>
      <c r="V63" s="23"/>
      <c r="W63" s="23"/>
      <c r="X63" s="22"/>
    </row>
    <row r="64" spans="2:24" hidden="1" x14ac:dyDescent="0.3">
      <c r="B64" s="21"/>
      <c r="C64" s="23"/>
      <c r="D64" s="23"/>
      <c r="E64" s="23"/>
      <c r="F64" s="23"/>
      <c r="G64" s="23"/>
      <c r="H64" s="23"/>
      <c r="I64" s="23"/>
      <c r="J64" s="23"/>
      <c r="K64" s="23"/>
      <c r="L64" s="23"/>
      <c r="M64" s="23"/>
      <c r="N64" s="23"/>
      <c r="O64" s="23"/>
      <c r="P64" s="23"/>
      <c r="Q64" s="23"/>
      <c r="R64" s="23"/>
      <c r="S64" s="23"/>
      <c r="T64" s="23"/>
      <c r="U64" s="23"/>
      <c r="V64" s="23"/>
      <c r="W64" s="23"/>
      <c r="X64" s="22"/>
    </row>
    <row r="65" spans="2:24" hidden="1" x14ac:dyDescent="0.3">
      <c r="B65" s="21"/>
      <c r="C65" s="23"/>
      <c r="D65" s="23"/>
      <c r="E65" s="23"/>
      <c r="F65" s="23"/>
      <c r="G65" s="23"/>
      <c r="H65" s="23"/>
      <c r="I65" s="23"/>
      <c r="J65" s="23"/>
      <c r="K65" s="23"/>
      <c r="L65" s="23"/>
      <c r="M65" s="23"/>
      <c r="N65" s="23"/>
      <c r="O65" s="23"/>
      <c r="P65" s="23"/>
      <c r="Q65" s="23"/>
      <c r="R65" s="23"/>
      <c r="S65" s="23"/>
      <c r="T65" s="23"/>
      <c r="U65" s="23"/>
      <c r="V65" s="23"/>
      <c r="W65" s="23"/>
      <c r="X65" s="22"/>
    </row>
    <row r="66" spans="2:24" hidden="1" x14ac:dyDescent="0.3">
      <c r="B66" s="21"/>
      <c r="C66" s="23"/>
      <c r="D66" s="23"/>
      <c r="E66" s="23"/>
      <c r="F66" s="23"/>
      <c r="G66" s="23"/>
      <c r="H66" s="23"/>
      <c r="I66" s="23"/>
      <c r="J66" s="23"/>
      <c r="K66" s="23"/>
      <c r="L66" s="23"/>
      <c r="M66" s="23"/>
      <c r="N66" s="23"/>
      <c r="O66" s="23"/>
      <c r="P66" s="23"/>
      <c r="Q66" s="23"/>
      <c r="R66" s="23"/>
      <c r="S66" s="23"/>
      <c r="T66" s="23"/>
      <c r="U66" s="23"/>
      <c r="V66" s="23"/>
      <c r="W66" s="23"/>
      <c r="X66" s="22"/>
    </row>
    <row r="67" spans="2:24" hidden="1" x14ac:dyDescent="0.3">
      <c r="B67" s="21"/>
      <c r="C67" s="23"/>
      <c r="D67" s="23"/>
      <c r="E67" s="23"/>
      <c r="F67" s="23"/>
      <c r="G67" s="23"/>
      <c r="H67" s="23"/>
      <c r="I67" s="23"/>
      <c r="J67" s="23"/>
      <c r="K67" s="23"/>
      <c r="L67" s="23"/>
      <c r="M67" s="23"/>
      <c r="N67" s="23"/>
      <c r="O67" s="23"/>
      <c r="P67" s="23"/>
      <c r="Q67" s="23"/>
      <c r="R67" s="23"/>
      <c r="S67" s="23"/>
      <c r="T67" s="23"/>
      <c r="U67" s="23"/>
      <c r="V67" s="23"/>
      <c r="W67" s="23"/>
      <c r="X67" s="22"/>
    </row>
    <row r="68" spans="2:24" hidden="1" x14ac:dyDescent="0.3">
      <c r="B68" s="21"/>
      <c r="C68" s="23"/>
      <c r="D68" s="23"/>
      <c r="E68" s="23"/>
      <c r="F68" s="23"/>
      <c r="G68" s="23"/>
      <c r="H68" s="23"/>
      <c r="I68" s="23"/>
      <c r="J68" s="23"/>
      <c r="K68" s="23"/>
      <c r="L68" s="23"/>
      <c r="M68" s="23"/>
      <c r="N68" s="23"/>
      <c r="O68" s="23"/>
      <c r="P68" s="23"/>
      <c r="Q68" s="23"/>
      <c r="R68" s="23"/>
      <c r="S68" s="23"/>
      <c r="T68" s="23"/>
      <c r="U68" s="23"/>
      <c r="V68" s="23"/>
      <c r="W68" s="23"/>
      <c r="X68" s="22"/>
    </row>
    <row r="69" spans="2:24" hidden="1" x14ac:dyDescent="0.3">
      <c r="B69" s="21"/>
      <c r="C69" s="23"/>
      <c r="D69" s="23"/>
      <c r="E69" s="23"/>
      <c r="F69" s="23"/>
      <c r="G69" s="23"/>
      <c r="H69" s="23"/>
      <c r="I69" s="23"/>
      <c r="J69" s="23"/>
      <c r="K69" s="23"/>
      <c r="L69" s="23"/>
      <c r="M69" s="23"/>
      <c r="N69" s="23"/>
      <c r="O69" s="23"/>
      <c r="P69" s="23"/>
      <c r="Q69" s="23"/>
      <c r="R69" s="23"/>
      <c r="S69" s="23"/>
      <c r="T69" s="23"/>
      <c r="U69" s="23"/>
      <c r="V69" s="23"/>
      <c r="W69" s="23"/>
      <c r="X69" s="22"/>
    </row>
    <row r="70" spans="2:24" hidden="1" x14ac:dyDescent="0.3">
      <c r="B70" s="21"/>
      <c r="C70" s="23"/>
      <c r="D70" s="23"/>
      <c r="E70" s="23"/>
      <c r="F70" s="23"/>
      <c r="G70" s="23"/>
      <c r="H70" s="23"/>
      <c r="I70" s="23"/>
      <c r="J70" s="23"/>
      <c r="K70" s="23"/>
      <c r="L70" s="23"/>
      <c r="M70" s="23"/>
      <c r="N70" s="23"/>
      <c r="O70" s="23"/>
      <c r="P70" s="23"/>
      <c r="Q70" s="23"/>
      <c r="R70" s="23"/>
      <c r="S70" s="23"/>
      <c r="T70" s="23"/>
      <c r="U70" s="23"/>
      <c r="V70" s="23"/>
      <c r="W70" s="23"/>
      <c r="X70" s="22"/>
    </row>
    <row r="71" spans="2:24" hidden="1" x14ac:dyDescent="0.3">
      <c r="B71" s="21"/>
      <c r="C71" s="23"/>
      <c r="D71" s="23"/>
      <c r="E71" s="23"/>
      <c r="F71" s="23"/>
      <c r="G71" s="23"/>
      <c r="H71" s="23"/>
      <c r="I71" s="23"/>
      <c r="J71" s="23"/>
      <c r="K71" s="23"/>
      <c r="L71" s="23"/>
      <c r="M71" s="23"/>
      <c r="N71" s="23"/>
      <c r="O71" s="23"/>
      <c r="P71" s="23"/>
      <c r="Q71" s="23"/>
      <c r="R71" s="23"/>
      <c r="S71" s="23"/>
      <c r="T71" s="23"/>
      <c r="U71" s="23"/>
      <c r="V71" s="23"/>
      <c r="W71" s="23"/>
      <c r="X71" s="22"/>
    </row>
    <row r="72" spans="2:24" hidden="1" x14ac:dyDescent="0.3">
      <c r="B72" s="21"/>
      <c r="C72" s="23"/>
      <c r="D72" s="23"/>
      <c r="E72" s="23"/>
      <c r="F72" s="23"/>
      <c r="G72" s="23"/>
      <c r="H72" s="23"/>
      <c r="I72" s="23"/>
      <c r="J72" s="23"/>
      <c r="K72" s="23"/>
      <c r="L72" s="23"/>
      <c r="M72" s="23"/>
      <c r="N72" s="23"/>
      <c r="O72" s="23"/>
      <c r="P72" s="23"/>
      <c r="Q72" s="23"/>
      <c r="R72" s="23"/>
      <c r="S72" s="23"/>
      <c r="T72" s="23"/>
      <c r="U72" s="23"/>
      <c r="V72" s="23"/>
      <c r="W72" s="23"/>
      <c r="X72" s="22"/>
    </row>
    <row r="73" spans="2:24" hidden="1" x14ac:dyDescent="0.3">
      <c r="B73" s="21"/>
      <c r="C73" s="23"/>
      <c r="D73" s="23"/>
      <c r="E73" s="23"/>
      <c r="F73" s="23"/>
      <c r="G73" s="23"/>
      <c r="H73" s="23"/>
      <c r="I73" s="23"/>
      <c r="J73" s="23"/>
      <c r="K73" s="23"/>
      <c r="L73" s="23"/>
      <c r="M73" s="23"/>
      <c r="N73" s="23"/>
      <c r="O73" s="23"/>
      <c r="P73" s="23"/>
      <c r="Q73" s="23"/>
      <c r="R73" s="23"/>
      <c r="S73" s="23"/>
      <c r="T73" s="23"/>
      <c r="U73" s="23"/>
      <c r="V73" s="23"/>
      <c r="W73" s="23"/>
      <c r="X73" s="22"/>
    </row>
    <row r="74" spans="2:24" hidden="1" x14ac:dyDescent="0.3">
      <c r="B74" s="21"/>
      <c r="C74" s="23"/>
      <c r="D74" s="23"/>
      <c r="E74" s="23"/>
      <c r="F74" s="23"/>
      <c r="G74" s="23"/>
      <c r="H74" s="23"/>
      <c r="I74" s="23"/>
      <c r="J74" s="23"/>
      <c r="K74" s="23"/>
      <c r="L74" s="23"/>
      <c r="M74" s="23"/>
      <c r="N74" s="23"/>
      <c r="O74" s="23"/>
      <c r="P74" s="23"/>
      <c r="Q74" s="23"/>
      <c r="R74" s="23"/>
      <c r="S74" s="23"/>
      <c r="T74" s="23"/>
      <c r="U74" s="23"/>
      <c r="V74" s="23"/>
      <c r="W74" s="23"/>
      <c r="X74" s="22"/>
    </row>
    <row r="75" spans="2:24" hidden="1" x14ac:dyDescent="0.3">
      <c r="B75" s="21"/>
      <c r="C75" s="23"/>
      <c r="D75" s="23"/>
      <c r="E75" s="23"/>
      <c r="F75" s="23"/>
      <c r="G75" s="23"/>
      <c r="H75" s="23"/>
      <c r="I75" s="23"/>
      <c r="J75" s="23"/>
      <c r="K75" s="23"/>
      <c r="L75" s="23"/>
      <c r="M75" s="23"/>
      <c r="N75" s="23"/>
      <c r="O75" s="23"/>
      <c r="P75" s="23"/>
      <c r="Q75" s="23"/>
      <c r="R75" s="23"/>
      <c r="S75" s="23"/>
      <c r="T75" s="23"/>
      <c r="U75" s="23"/>
      <c r="V75" s="23"/>
      <c r="W75" s="23"/>
      <c r="X75" s="22"/>
    </row>
    <row r="76" spans="2:24" ht="15" hidden="1" thickBot="1" x14ac:dyDescent="0.35">
      <c r="B76" s="24"/>
      <c r="C76" s="25"/>
      <c r="D76" s="25"/>
      <c r="E76" s="25"/>
      <c r="F76" s="25"/>
      <c r="G76" s="25"/>
      <c r="H76" s="25"/>
      <c r="I76" s="25"/>
      <c r="J76" s="25"/>
      <c r="K76" s="25"/>
      <c r="L76" s="25"/>
      <c r="M76" s="25"/>
      <c r="N76" s="25"/>
      <c r="O76" s="25"/>
      <c r="P76" s="25"/>
      <c r="Q76" s="25"/>
      <c r="R76" s="25"/>
      <c r="S76" s="25"/>
      <c r="T76" s="25"/>
      <c r="U76" s="25"/>
      <c r="V76" s="25"/>
      <c r="W76" s="25"/>
      <c r="X76" s="26"/>
    </row>
    <row r="77" spans="2:24" hidden="1" x14ac:dyDescent="0.3"/>
    <row r="78" spans="2:24" hidden="1" x14ac:dyDescent="0.3"/>
    <row r="79" spans="2:24" hidden="1" x14ac:dyDescent="0.3"/>
    <row r="80" spans="2:24" hidden="1" x14ac:dyDescent="0.3"/>
  </sheetData>
  <sheetProtection algorithmName="SHA-512" hashValue="3OYZ6V4sMJ70k4M3U/9SdgRu4HZTltemLdPTeLBvXhnkZjTyOmDRQKchJhg1ohdOV3f9Px9oidIzZkGCorSg+w==" saltValue="vcsAd+2H7CU4ilwjzgfEGg==" spinCount="100000" sheet="1" objects="1" scenarios="1"/>
  <mergeCells count="18">
    <mergeCell ref="C7:W8"/>
    <mergeCell ref="E32:F32"/>
    <mergeCell ref="H32:I32"/>
    <mergeCell ref="B34:C42"/>
    <mergeCell ref="E34:F42"/>
    <mergeCell ref="H34:I42"/>
    <mergeCell ref="K34:L42"/>
    <mergeCell ref="M34:N42"/>
    <mergeCell ref="O34:P42"/>
    <mergeCell ref="Q34:R42"/>
    <mergeCell ref="B5:C5"/>
    <mergeCell ref="E5:F5"/>
    <mergeCell ref="H5:I5"/>
    <mergeCell ref="B2:C2"/>
    <mergeCell ref="B4:C4"/>
    <mergeCell ref="E4:F4"/>
    <mergeCell ref="H4:I4"/>
    <mergeCell ref="D2:V2"/>
  </mergeCells>
  <hyperlinks>
    <hyperlink ref="E4:F4" location="Menu!E4" display="Proses RPA" xr:uid="{C823DE0D-4871-4E9D-BFB2-19EAF63564F4}"/>
    <hyperlink ref="H4:I4" location="Menu!H4" display="Setting" xr:uid="{93EE0B24-06D4-47CA-BEC4-4792A8B9C745}"/>
    <hyperlink ref="B4:C4" location="Menu!B4" display="Home" xr:uid="{FCB8929A-F2C4-401D-9339-3C72A4E058CE}"/>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9F86F-FC11-414F-A5AC-A521C5AFBB62}">
  <sheetPr codeName="Sheet6"/>
  <dimension ref="A2:AV32"/>
  <sheetViews>
    <sheetView workbookViewId="0">
      <selection activeCell="G13" sqref="G13"/>
    </sheetView>
  </sheetViews>
  <sheetFormatPr defaultRowHeight="14.4" x14ac:dyDescent="0.3"/>
  <sheetData>
    <row r="2" spans="1:48" x14ac:dyDescent="0.3">
      <c r="A2">
        <v>1</v>
      </c>
      <c r="B2" s="27" t="s">
        <v>240</v>
      </c>
      <c r="C2">
        <v>0</v>
      </c>
      <c r="D2">
        <v>1</v>
      </c>
      <c r="E2" s="27" t="s">
        <v>240</v>
      </c>
      <c r="F2" t="s">
        <v>320</v>
      </c>
      <c r="G2" t="s">
        <v>338</v>
      </c>
      <c r="H2">
        <v>0</v>
      </c>
      <c r="I2" t="s">
        <v>241</v>
      </c>
      <c r="J2">
        <v>0</v>
      </c>
      <c r="K2" t="s">
        <v>242</v>
      </c>
      <c r="L2">
        <v>0</v>
      </c>
      <c r="M2" t="s">
        <v>88</v>
      </c>
      <c r="N2">
        <v>0</v>
      </c>
      <c r="P2" t="s">
        <v>243</v>
      </c>
      <c r="Q2" s="27" t="s">
        <v>244</v>
      </c>
      <c r="R2">
        <v>0</v>
      </c>
      <c r="T2" t="str">
        <f>"L"&amp;G3</f>
        <v>LWPS</v>
      </c>
      <c r="U2">
        <v>1</v>
      </c>
      <c r="W2" t="b">
        <v>1</v>
      </c>
      <c r="Y2" t="s">
        <v>245</v>
      </c>
      <c r="Z2">
        <v>1</v>
      </c>
      <c r="AB2" s="37" t="s">
        <v>81</v>
      </c>
      <c r="AC2">
        <v>1</v>
      </c>
      <c r="AD2" s="37" t="s">
        <v>82</v>
      </c>
      <c r="AE2" s="37" t="s">
        <v>83</v>
      </c>
      <c r="AF2" s="37" t="s">
        <v>84</v>
      </c>
      <c r="AG2">
        <v>1</v>
      </c>
      <c r="AH2" s="37" t="s">
        <v>85</v>
      </c>
      <c r="AI2" s="37" t="s">
        <v>86</v>
      </c>
      <c r="AJ2" s="37" t="s">
        <v>87</v>
      </c>
      <c r="AK2" s="37" t="s">
        <v>88</v>
      </c>
      <c r="AL2" s="37" t="s">
        <v>89</v>
      </c>
      <c r="AM2" s="37" t="s">
        <v>90</v>
      </c>
      <c r="AN2" s="37" t="s">
        <v>91</v>
      </c>
      <c r="AO2" s="37" t="s">
        <v>92</v>
      </c>
      <c r="AP2" s="37" t="s">
        <v>93</v>
      </c>
      <c r="AQ2" s="37" t="s">
        <v>85</v>
      </c>
      <c r="AR2" s="37">
        <v>0</v>
      </c>
      <c r="AS2" s="37" t="s">
        <v>326</v>
      </c>
      <c r="AU2" s="37">
        <v>1</v>
      </c>
      <c r="AV2" s="37">
        <v>0</v>
      </c>
    </row>
    <row r="3" spans="1:48" x14ac:dyDescent="0.3">
      <c r="A3">
        <v>2</v>
      </c>
      <c r="B3" s="27" t="s">
        <v>246</v>
      </c>
      <c r="C3">
        <v>0</v>
      </c>
      <c r="D3">
        <v>2</v>
      </c>
      <c r="E3" s="27" t="s">
        <v>246</v>
      </c>
      <c r="F3" t="s">
        <v>321</v>
      </c>
      <c r="G3" t="s">
        <v>339</v>
      </c>
      <c r="H3">
        <v>0</v>
      </c>
      <c r="I3" t="s">
        <v>247</v>
      </c>
      <c r="J3">
        <v>0</v>
      </c>
      <c r="K3" t="s">
        <v>248</v>
      </c>
      <c r="L3">
        <v>0</v>
      </c>
      <c r="M3" t="s">
        <v>143</v>
      </c>
      <c r="N3">
        <v>0</v>
      </c>
      <c r="P3" t="s">
        <v>249</v>
      </c>
      <c r="Q3" s="27" t="s">
        <v>250</v>
      </c>
      <c r="R3">
        <v>0</v>
      </c>
      <c r="T3" t="str">
        <f>"P"&amp;G2</f>
        <v>PLSL</v>
      </c>
      <c r="U3">
        <v>1</v>
      </c>
      <c r="W3" t="s">
        <v>312</v>
      </c>
      <c r="Y3" t="s">
        <v>251</v>
      </c>
      <c r="Z3">
        <v>1</v>
      </c>
      <c r="AB3" s="37" t="s">
        <v>136</v>
      </c>
      <c r="AC3">
        <v>2</v>
      </c>
      <c r="AD3" s="37" t="s">
        <v>137</v>
      </c>
      <c r="AE3" s="37" t="s">
        <v>138</v>
      </c>
      <c r="AF3" s="37" t="s">
        <v>139</v>
      </c>
      <c r="AG3">
        <v>2</v>
      </c>
      <c r="AH3" s="37" t="s">
        <v>140</v>
      </c>
      <c r="AI3" s="37" t="s">
        <v>141</v>
      </c>
      <c r="AJ3" s="37" t="s">
        <v>142</v>
      </c>
      <c r="AK3" s="37" t="s">
        <v>143</v>
      </c>
      <c r="AL3" s="37" t="s">
        <v>144</v>
      </c>
      <c r="AM3" s="37" t="s">
        <v>145</v>
      </c>
      <c r="AN3" s="37" t="s">
        <v>146</v>
      </c>
      <c r="AO3" s="37" t="s">
        <v>147</v>
      </c>
      <c r="AP3" s="37" t="s">
        <v>148</v>
      </c>
      <c r="AQ3" s="37" t="s">
        <v>149</v>
      </c>
      <c r="AR3" s="37">
        <v>0</v>
      </c>
      <c r="AS3" s="37" t="s">
        <v>327</v>
      </c>
      <c r="AU3" s="37">
        <v>3</v>
      </c>
      <c r="AV3" s="37">
        <v>0</v>
      </c>
    </row>
    <row r="4" spans="1:48" x14ac:dyDescent="0.3">
      <c r="A4">
        <v>3</v>
      </c>
      <c r="B4" s="27" t="s">
        <v>252</v>
      </c>
      <c r="C4">
        <v>0</v>
      </c>
      <c r="D4">
        <v>3</v>
      </c>
      <c r="E4" s="27" t="s">
        <v>252</v>
      </c>
      <c r="F4" t="s">
        <v>322</v>
      </c>
      <c r="G4" t="s">
        <v>340</v>
      </c>
      <c r="H4">
        <v>0</v>
      </c>
      <c r="K4" t="s">
        <v>253</v>
      </c>
      <c r="L4">
        <v>0</v>
      </c>
      <c r="P4" t="s">
        <v>254</v>
      </c>
      <c r="Q4" s="27" t="s">
        <v>255</v>
      </c>
      <c r="R4">
        <v>0</v>
      </c>
      <c r="T4" t="str">
        <f>"P"&amp;G4</f>
        <v>PWaria</v>
      </c>
      <c r="U4">
        <v>1</v>
      </c>
      <c r="AB4" s="37" t="s">
        <v>150</v>
      </c>
      <c r="AC4">
        <v>4</v>
      </c>
      <c r="AD4" s="37" t="s">
        <v>151</v>
      </c>
      <c r="AE4" s="37"/>
      <c r="AF4" s="37" t="s">
        <v>152</v>
      </c>
      <c r="AG4">
        <v>3</v>
      </c>
      <c r="AH4" s="37"/>
      <c r="AI4" s="37" t="s">
        <v>153</v>
      </c>
      <c r="AJ4" s="37" t="s">
        <v>154</v>
      </c>
      <c r="AK4" s="37" t="s">
        <v>155</v>
      </c>
      <c r="AL4" s="37"/>
      <c r="AM4" s="37"/>
      <c r="AN4" s="37"/>
      <c r="AO4" s="37"/>
      <c r="AP4" s="37"/>
      <c r="AQ4" s="37"/>
      <c r="AR4" s="37">
        <v>0</v>
      </c>
      <c r="AU4" s="37">
        <v>6</v>
      </c>
      <c r="AV4" s="37">
        <v>0</v>
      </c>
    </row>
    <row r="5" spans="1:48" x14ac:dyDescent="0.3">
      <c r="A5">
        <v>4</v>
      </c>
      <c r="B5" s="27" t="s">
        <v>256</v>
      </c>
      <c r="C5">
        <v>0</v>
      </c>
      <c r="D5">
        <v>4</v>
      </c>
      <c r="E5" s="27" t="s">
        <v>256</v>
      </c>
      <c r="F5" t="s">
        <v>323</v>
      </c>
      <c r="G5" t="s">
        <v>341</v>
      </c>
      <c r="H5">
        <v>0</v>
      </c>
      <c r="P5" t="s">
        <v>257</v>
      </c>
      <c r="Q5" s="27" t="s">
        <v>258</v>
      </c>
      <c r="R5">
        <v>0</v>
      </c>
      <c r="AB5" s="37" t="s">
        <v>156</v>
      </c>
      <c r="AC5">
        <v>5</v>
      </c>
      <c r="AD5" s="37"/>
      <c r="AE5" s="37"/>
      <c r="AF5" s="37" t="s">
        <v>157</v>
      </c>
      <c r="AG5">
        <v>4</v>
      </c>
      <c r="AH5" s="37"/>
      <c r="AI5" s="37" t="s">
        <v>158</v>
      </c>
      <c r="AJ5" s="37"/>
      <c r="AK5" s="37"/>
      <c r="AL5" s="37"/>
      <c r="AM5" s="37"/>
      <c r="AN5" s="37"/>
      <c r="AO5" s="37"/>
      <c r="AP5" s="37"/>
      <c r="AQ5" s="37"/>
      <c r="AR5" s="37">
        <v>0</v>
      </c>
      <c r="AU5" s="37">
        <v>9</v>
      </c>
      <c r="AV5" s="37">
        <v>0</v>
      </c>
    </row>
    <row r="6" spans="1:48" x14ac:dyDescent="0.3">
      <c r="A6">
        <v>5</v>
      </c>
      <c r="B6" s="27" t="s">
        <v>259</v>
      </c>
      <c r="C6">
        <v>0</v>
      </c>
      <c r="D6">
        <v>5</v>
      </c>
      <c r="E6" s="27" t="s">
        <v>259</v>
      </c>
      <c r="F6" t="s">
        <v>324</v>
      </c>
      <c r="G6" t="s">
        <v>342</v>
      </c>
      <c r="H6">
        <v>0</v>
      </c>
      <c r="P6" t="s">
        <v>260</v>
      </c>
      <c r="Q6" s="27" t="s">
        <v>261</v>
      </c>
      <c r="R6">
        <v>0</v>
      </c>
      <c r="AB6" s="37" t="s">
        <v>159</v>
      </c>
      <c r="AC6">
        <v>6</v>
      </c>
      <c r="AD6" s="37"/>
      <c r="AE6" s="37"/>
      <c r="AF6" s="37" t="s">
        <v>160</v>
      </c>
      <c r="AG6">
        <v>5</v>
      </c>
      <c r="AH6" s="37"/>
      <c r="AI6" s="37" t="s">
        <v>161</v>
      </c>
      <c r="AJ6" s="37"/>
      <c r="AK6" s="37"/>
      <c r="AL6" s="37"/>
      <c r="AM6" s="37"/>
      <c r="AN6" s="37"/>
      <c r="AO6" s="37"/>
      <c r="AP6" s="37"/>
      <c r="AQ6" s="37"/>
      <c r="AR6" s="37">
        <v>0</v>
      </c>
      <c r="AU6" s="37">
        <v>12</v>
      </c>
      <c r="AV6" s="37">
        <v>0</v>
      </c>
    </row>
    <row r="7" spans="1:48" x14ac:dyDescent="0.3">
      <c r="A7">
        <v>6</v>
      </c>
      <c r="B7" s="27" t="s">
        <v>262</v>
      </c>
      <c r="C7">
        <v>0</v>
      </c>
      <c r="D7">
        <v>6</v>
      </c>
      <c r="E7" s="27" t="s">
        <v>262</v>
      </c>
      <c r="F7" t="s">
        <v>325</v>
      </c>
      <c r="G7" t="s">
        <v>343</v>
      </c>
      <c r="H7">
        <v>0</v>
      </c>
      <c r="K7" t="s">
        <v>335</v>
      </c>
      <c r="P7" t="s">
        <v>263</v>
      </c>
      <c r="Q7" s="27" t="s">
        <v>264</v>
      </c>
      <c r="R7">
        <v>0</v>
      </c>
      <c r="AB7" s="37" t="s">
        <v>162</v>
      </c>
      <c r="AC7">
        <v>7</v>
      </c>
      <c r="AD7" s="37"/>
      <c r="AE7" s="37"/>
      <c r="AF7" s="37" t="s">
        <v>163</v>
      </c>
      <c r="AG7">
        <v>6</v>
      </c>
      <c r="AH7" s="37"/>
      <c r="AI7" s="37"/>
      <c r="AJ7" s="37"/>
      <c r="AK7" s="37"/>
      <c r="AL7" s="37"/>
      <c r="AM7" s="37"/>
      <c r="AN7" s="37"/>
      <c r="AO7" s="37"/>
      <c r="AP7" s="37"/>
      <c r="AQ7" s="37"/>
      <c r="AR7" s="37">
        <v>0</v>
      </c>
      <c r="AU7" s="37">
        <v>15</v>
      </c>
      <c r="AV7" s="37">
        <v>0</v>
      </c>
    </row>
    <row r="8" spans="1:48" x14ac:dyDescent="0.3">
      <c r="A8">
        <v>7</v>
      </c>
      <c r="B8" s="27" t="s">
        <v>265</v>
      </c>
      <c r="C8">
        <v>0</v>
      </c>
      <c r="D8">
        <v>7</v>
      </c>
      <c r="E8" s="27" t="s">
        <v>265</v>
      </c>
      <c r="K8" t="s">
        <v>337</v>
      </c>
      <c r="P8" t="s">
        <v>266</v>
      </c>
      <c r="Q8" s="27" t="s">
        <v>267</v>
      </c>
      <c r="R8">
        <v>0</v>
      </c>
      <c r="AB8" s="37" t="s">
        <v>164</v>
      </c>
      <c r="AC8">
        <v>8</v>
      </c>
      <c r="AD8" s="37"/>
      <c r="AE8" s="37"/>
      <c r="AF8" s="37" t="s">
        <v>165</v>
      </c>
      <c r="AG8">
        <v>7</v>
      </c>
      <c r="AH8" s="37"/>
      <c r="AI8" s="37"/>
      <c r="AJ8" s="37"/>
      <c r="AK8" s="37"/>
      <c r="AL8" s="37"/>
      <c r="AM8" s="37"/>
      <c r="AN8" s="37"/>
      <c r="AO8" s="37"/>
      <c r="AP8" s="37"/>
      <c r="AQ8" s="37"/>
      <c r="AR8" s="37">
        <v>0</v>
      </c>
      <c r="AU8" s="37">
        <v>18</v>
      </c>
      <c r="AV8" s="37">
        <v>0</v>
      </c>
    </row>
    <row r="9" spans="1:48" x14ac:dyDescent="0.3">
      <c r="A9">
        <v>8</v>
      </c>
      <c r="B9" s="27" t="s">
        <v>268</v>
      </c>
      <c r="C9">
        <v>0</v>
      </c>
      <c r="D9">
        <v>8</v>
      </c>
      <c r="E9" s="27" t="s">
        <v>268</v>
      </c>
      <c r="K9" t="s">
        <v>336</v>
      </c>
      <c r="AB9" s="37" t="s">
        <v>166</v>
      </c>
      <c r="AC9">
        <v>9</v>
      </c>
      <c r="AE9" s="37"/>
      <c r="AF9" s="37"/>
      <c r="AG9" s="37"/>
      <c r="AH9" s="37"/>
      <c r="AI9" s="37"/>
      <c r="AJ9" s="37"/>
      <c r="AK9" s="37"/>
      <c r="AL9" s="37"/>
      <c r="AM9" s="37"/>
      <c r="AN9" s="37"/>
      <c r="AO9" s="37"/>
      <c r="AP9" s="37"/>
      <c r="AQ9" s="37"/>
      <c r="AR9" s="37">
        <v>0</v>
      </c>
      <c r="AU9" s="37">
        <v>21</v>
      </c>
      <c r="AV9" s="37">
        <v>0</v>
      </c>
    </row>
    <row r="10" spans="1:48" x14ac:dyDescent="0.3">
      <c r="A10">
        <v>9</v>
      </c>
      <c r="B10" s="27" t="s">
        <v>269</v>
      </c>
      <c r="C10">
        <v>0</v>
      </c>
      <c r="D10">
        <v>9</v>
      </c>
      <c r="E10" s="27" t="s">
        <v>269</v>
      </c>
      <c r="K10" t="s">
        <v>143</v>
      </c>
      <c r="AB10" s="37" t="s">
        <v>167</v>
      </c>
      <c r="AC10">
        <v>1000</v>
      </c>
      <c r="AE10" s="37"/>
      <c r="AF10" s="37"/>
      <c r="AG10" s="37"/>
      <c r="AH10" s="37"/>
      <c r="AI10" s="37"/>
      <c r="AJ10" s="37"/>
      <c r="AK10" s="37"/>
      <c r="AL10" s="37"/>
      <c r="AM10" s="37"/>
      <c r="AN10" s="37"/>
      <c r="AO10" s="37"/>
      <c r="AP10" s="37"/>
      <c r="AQ10" s="37"/>
      <c r="AR10" s="37">
        <v>0</v>
      </c>
      <c r="AU10" s="37">
        <v>24</v>
      </c>
      <c r="AV10" s="37">
        <v>0</v>
      </c>
    </row>
    <row r="11" spans="1:48" x14ac:dyDescent="0.3">
      <c r="A11">
        <v>10</v>
      </c>
      <c r="B11" s="27" t="s">
        <v>270</v>
      </c>
      <c r="C11">
        <v>0</v>
      </c>
      <c r="D11">
        <v>10</v>
      </c>
      <c r="E11" s="27" t="s">
        <v>270</v>
      </c>
      <c r="G11" t="s">
        <v>314</v>
      </c>
    </row>
    <row r="12" spans="1:48" x14ac:dyDescent="0.3">
      <c r="A12">
        <v>11</v>
      </c>
      <c r="B12" s="27" t="s">
        <v>271</v>
      </c>
      <c r="C12">
        <v>0</v>
      </c>
      <c r="D12">
        <v>11</v>
      </c>
      <c r="E12" s="27" t="s">
        <v>271</v>
      </c>
      <c r="G12" t="s">
        <v>315</v>
      </c>
    </row>
    <row r="13" spans="1:48" x14ac:dyDescent="0.3">
      <c r="A13">
        <v>12</v>
      </c>
      <c r="B13" s="27" t="s">
        <v>272</v>
      </c>
      <c r="C13">
        <v>0</v>
      </c>
      <c r="D13">
        <v>12</v>
      </c>
      <c r="E13" s="27" t="s">
        <v>272</v>
      </c>
      <c r="G13" t="str">
        <f>MID(Menu!B2,FIND(" ",Menu!B2,1)+2,3)</f>
        <v>2.3</v>
      </c>
    </row>
    <row r="14" spans="1:48" x14ac:dyDescent="0.3">
      <c r="D14">
        <v>13</v>
      </c>
      <c r="E14" t="s">
        <v>273</v>
      </c>
    </row>
    <row r="15" spans="1:48" x14ac:dyDescent="0.3">
      <c r="D15">
        <v>14</v>
      </c>
      <c r="E15" t="s">
        <v>274</v>
      </c>
    </row>
    <row r="16" spans="1:48" x14ac:dyDescent="0.3">
      <c r="D16">
        <v>15</v>
      </c>
      <c r="E16" t="s">
        <v>275</v>
      </c>
    </row>
    <row r="17" spans="1:5" x14ac:dyDescent="0.3">
      <c r="D17">
        <v>16</v>
      </c>
      <c r="E17" t="s">
        <v>276</v>
      </c>
    </row>
    <row r="18" spans="1:5" x14ac:dyDescent="0.3">
      <c r="A18">
        <v>1</v>
      </c>
      <c r="B18" t="s">
        <v>277</v>
      </c>
      <c r="D18">
        <v>17</v>
      </c>
      <c r="E18" t="s">
        <v>278</v>
      </c>
    </row>
    <row r="19" spans="1:5" x14ac:dyDescent="0.3">
      <c r="A19">
        <v>2</v>
      </c>
      <c r="B19" t="s">
        <v>279</v>
      </c>
      <c r="D19">
        <v>18</v>
      </c>
      <c r="E19" t="s">
        <v>280</v>
      </c>
    </row>
    <row r="20" spans="1:5" x14ac:dyDescent="0.3">
      <c r="A20">
        <v>3</v>
      </c>
      <c r="B20" t="s">
        <v>281</v>
      </c>
      <c r="D20">
        <v>19</v>
      </c>
      <c r="E20" t="s">
        <v>282</v>
      </c>
    </row>
    <row r="21" spans="1:5" x14ac:dyDescent="0.3">
      <c r="A21">
        <v>4</v>
      </c>
      <c r="B21" t="s">
        <v>283</v>
      </c>
      <c r="D21">
        <v>20</v>
      </c>
      <c r="E21" t="s">
        <v>284</v>
      </c>
    </row>
    <row r="22" spans="1:5" x14ac:dyDescent="0.3">
      <c r="A22">
        <v>5</v>
      </c>
      <c r="B22" t="s">
        <v>285</v>
      </c>
      <c r="D22">
        <v>21</v>
      </c>
      <c r="E22" t="s">
        <v>286</v>
      </c>
    </row>
    <row r="23" spans="1:5" x14ac:dyDescent="0.3">
      <c r="A23">
        <v>6</v>
      </c>
      <c r="B23" t="s">
        <v>287</v>
      </c>
      <c r="D23">
        <v>22</v>
      </c>
      <c r="E23" t="s">
        <v>288</v>
      </c>
    </row>
    <row r="24" spans="1:5" x14ac:dyDescent="0.3">
      <c r="A24">
        <v>7</v>
      </c>
      <c r="B24" t="s">
        <v>289</v>
      </c>
      <c r="D24">
        <v>23</v>
      </c>
      <c r="E24" t="s">
        <v>290</v>
      </c>
    </row>
    <row r="25" spans="1:5" x14ac:dyDescent="0.3">
      <c r="A25">
        <v>8</v>
      </c>
      <c r="B25" t="s">
        <v>291</v>
      </c>
      <c r="D25">
        <v>24</v>
      </c>
      <c r="E25" t="s">
        <v>292</v>
      </c>
    </row>
    <row r="26" spans="1:5" x14ac:dyDescent="0.3">
      <c r="A26">
        <v>9</v>
      </c>
      <c r="B26" t="s">
        <v>293</v>
      </c>
      <c r="D26">
        <v>25</v>
      </c>
      <c r="E26" t="s">
        <v>294</v>
      </c>
    </row>
    <row r="27" spans="1:5" x14ac:dyDescent="0.3">
      <c r="A27">
        <v>10</v>
      </c>
      <c r="B27" t="s">
        <v>295</v>
      </c>
      <c r="D27">
        <v>26</v>
      </c>
      <c r="E27" t="s">
        <v>296</v>
      </c>
    </row>
    <row r="28" spans="1:5" x14ac:dyDescent="0.3">
      <c r="A28">
        <v>11</v>
      </c>
      <c r="B28" t="s">
        <v>297</v>
      </c>
      <c r="D28">
        <v>27</v>
      </c>
      <c r="E28" t="s">
        <v>298</v>
      </c>
    </row>
    <row r="29" spans="1:5" x14ac:dyDescent="0.3">
      <c r="A29">
        <v>12</v>
      </c>
      <c r="B29" t="s">
        <v>299</v>
      </c>
      <c r="D29">
        <v>28</v>
      </c>
      <c r="E29" t="s">
        <v>300</v>
      </c>
    </row>
    <row r="30" spans="1:5" x14ac:dyDescent="0.3">
      <c r="D30">
        <v>29</v>
      </c>
      <c r="E30" t="s">
        <v>301</v>
      </c>
    </row>
    <row r="31" spans="1:5" x14ac:dyDescent="0.3">
      <c r="D31">
        <v>30</v>
      </c>
      <c r="E31" t="s">
        <v>302</v>
      </c>
    </row>
    <row r="32" spans="1:5" x14ac:dyDescent="0.3">
      <c r="D32">
        <v>31</v>
      </c>
      <c r="E32" t="s">
        <v>303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48A7A-6C2E-4351-B6AE-2066C68A721F}">
  <sheetPr codeName="Sheet10"/>
  <dimension ref="A1"/>
  <sheetViews>
    <sheetView workbookViewId="0"/>
  </sheetViews>
  <sheetFormatPr defaultRowHeight="14.4" x14ac:dyDescent="0.3"/>
  <sheetData>
    <row r="1" spans="1:1" x14ac:dyDescent="0.3">
      <c r="A1" t="s">
        <v>318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9D84-D001-4A0C-A6FC-1C8FD6B614EA}">
  <sheetPr codeName="Sheet1"/>
  <dimension ref="B2:D131"/>
  <sheetViews>
    <sheetView workbookViewId="0">
      <selection activeCell="D26" sqref="D26"/>
    </sheetView>
  </sheetViews>
  <sheetFormatPr defaultRowHeight="14.4" x14ac:dyDescent="0.3"/>
  <cols>
    <col min="2" max="2" width="7.21875" customWidth="1"/>
    <col min="3" max="3" width="22.5546875" customWidth="1"/>
  </cols>
  <sheetData>
    <row r="2" spans="2:4" x14ac:dyDescent="0.3">
      <c r="B2" s="12" t="s">
        <v>0</v>
      </c>
      <c r="C2" s="12" t="s">
        <v>329</v>
      </c>
      <c r="D2" s="12" t="s">
        <v>330</v>
      </c>
    </row>
    <row r="3" spans="2:4" x14ac:dyDescent="0.3">
      <c r="B3" s="12"/>
      <c r="C3" s="12" t="s">
        <v>334</v>
      </c>
      <c r="D3" s="12">
        <f>SUM(D4:D6)</f>
        <v>0</v>
      </c>
    </row>
    <row r="4" spans="2:4" x14ac:dyDescent="0.3">
      <c r="B4">
        <v>1</v>
      </c>
      <c r="C4" t="s">
        <v>2</v>
      </c>
      <c r="D4">
        <f>'Penawaran PrEP'!AA1</f>
        <v>0</v>
      </c>
    </row>
    <row r="5" spans="2:4" x14ac:dyDescent="0.3">
      <c r="B5">
        <v>2</v>
      </c>
      <c r="C5" t="s">
        <v>4</v>
      </c>
      <c r="D5">
        <f>'Penawaran PrEP'!AC1</f>
        <v>0</v>
      </c>
    </row>
    <row r="6" spans="2:4" x14ac:dyDescent="0.3">
      <c r="B6">
        <v>3</v>
      </c>
      <c r="C6" t="s">
        <v>5</v>
      </c>
      <c r="D6">
        <f>'Penawaran PrEP'!AD1</f>
        <v>0</v>
      </c>
    </row>
    <row r="10" spans="2:4" x14ac:dyDescent="0.3">
      <c r="B10" s="12" t="s">
        <v>0</v>
      </c>
      <c r="C10" s="12" t="s">
        <v>329</v>
      </c>
      <c r="D10" s="12" t="s">
        <v>330</v>
      </c>
    </row>
    <row r="11" spans="2:4" x14ac:dyDescent="0.3">
      <c r="B11" s="12"/>
      <c r="C11" s="12" t="s">
        <v>334</v>
      </c>
      <c r="D11" s="12">
        <f>SUM(D12:D21)</f>
        <v>0</v>
      </c>
    </row>
    <row r="12" spans="2:4" x14ac:dyDescent="0.3">
      <c r="B12">
        <v>1</v>
      </c>
      <c r="C12" t="s">
        <v>3</v>
      </c>
      <c r="D12">
        <f>'Daftar Pasien Baru'!Q1</f>
        <v>0</v>
      </c>
    </row>
    <row r="13" spans="2:4" x14ac:dyDescent="0.3">
      <c r="B13">
        <v>2</v>
      </c>
      <c r="C13" t="s">
        <v>11</v>
      </c>
      <c r="D13">
        <f>'Daftar Pasien Baru'!R1</f>
        <v>0</v>
      </c>
    </row>
    <row r="14" spans="2:4" x14ac:dyDescent="0.3">
      <c r="B14">
        <v>3</v>
      </c>
      <c r="C14" t="s">
        <v>12</v>
      </c>
      <c r="D14">
        <f>'Daftar Pasien Baru'!S1</f>
        <v>0</v>
      </c>
    </row>
    <row r="15" spans="2:4" x14ac:dyDescent="0.3">
      <c r="B15">
        <v>4</v>
      </c>
      <c r="C15" t="s">
        <v>2</v>
      </c>
      <c r="D15">
        <f>'Daftar Pasien Baru'!T1</f>
        <v>0</v>
      </c>
    </row>
    <row r="16" spans="2:4" x14ac:dyDescent="0.3">
      <c r="B16">
        <v>5</v>
      </c>
      <c r="C16" t="s">
        <v>13</v>
      </c>
      <c r="D16">
        <f>'Daftar Pasien Baru'!U1</f>
        <v>0</v>
      </c>
    </row>
    <row r="17" spans="2:4" x14ac:dyDescent="0.3">
      <c r="B17">
        <v>6</v>
      </c>
      <c r="C17" t="s">
        <v>14</v>
      </c>
      <c r="D17">
        <f>'Daftar Pasien Baru'!V1</f>
        <v>0</v>
      </c>
    </row>
    <row r="18" spans="2:4" x14ac:dyDescent="0.3">
      <c r="B18">
        <v>7</v>
      </c>
      <c r="C18" t="s">
        <v>15</v>
      </c>
      <c r="D18">
        <f>'Daftar Pasien Baru'!W1</f>
        <v>0</v>
      </c>
    </row>
    <row r="19" spans="2:4" x14ac:dyDescent="0.3">
      <c r="B19">
        <v>8</v>
      </c>
      <c r="C19" t="s">
        <v>16</v>
      </c>
      <c r="D19">
        <f>'Daftar Pasien Baru'!X1</f>
        <v>0</v>
      </c>
    </row>
    <row r="20" spans="2:4" x14ac:dyDescent="0.3">
      <c r="B20">
        <v>9</v>
      </c>
      <c r="C20" t="s">
        <v>17</v>
      </c>
      <c r="D20">
        <f>'Daftar Pasien Baru'!Y1</f>
        <v>0</v>
      </c>
    </row>
    <row r="21" spans="2:4" x14ac:dyDescent="0.3">
      <c r="B21">
        <v>10</v>
      </c>
      <c r="C21" t="s">
        <v>331</v>
      </c>
      <c r="D21">
        <f>'Daftar Pasien Baru'!Z1</f>
        <v>0</v>
      </c>
    </row>
    <row r="24" spans="2:4" x14ac:dyDescent="0.3">
      <c r="B24" s="12" t="s">
        <v>0</v>
      </c>
      <c r="C24" s="12" t="s">
        <v>329</v>
      </c>
      <c r="D24" s="12" t="s">
        <v>330</v>
      </c>
    </row>
    <row r="25" spans="2:4" x14ac:dyDescent="0.3">
      <c r="B25" s="12"/>
      <c r="C25" s="12" t="s">
        <v>334</v>
      </c>
      <c r="D25" s="12">
        <f>SUM(D26:D71)</f>
        <v>0</v>
      </c>
    </row>
    <row r="26" spans="2:4" x14ac:dyDescent="0.3">
      <c r="B26">
        <v>1</v>
      </c>
      <c r="C26" t="s">
        <v>2</v>
      </c>
      <c r="D26">
        <f>'Kunjungan Memulai PrEP'!BZ1</f>
        <v>0</v>
      </c>
    </row>
    <row r="27" spans="2:4" x14ac:dyDescent="0.3">
      <c r="B27">
        <v>2</v>
      </c>
      <c r="C27" t="s">
        <v>8</v>
      </c>
      <c r="D27">
        <f>'Kunjungan Memulai PrEP'!CA1</f>
        <v>0</v>
      </c>
    </row>
    <row r="28" spans="2:4" x14ac:dyDescent="0.3">
      <c r="B28">
        <v>3</v>
      </c>
      <c r="C28" t="s">
        <v>20</v>
      </c>
      <c r="D28">
        <f>'Kunjungan Memulai PrEP'!CB1</f>
        <v>0</v>
      </c>
    </row>
    <row r="29" spans="2:4" x14ac:dyDescent="0.3">
      <c r="B29">
        <v>4</v>
      </c>
      <c r="C29" t="s">
        <v>42</v>
      </c>
      <c r="D29">
        <f>'Kunjungan Memulai PrEP'!CC1</f>
        <v>0</v>
      </c>
    </row>
    <row r="30" spans="2:4" x14ac:dyDescent="0.3">
      <c r="B30">
        <v>5</v>
      </c>
      <c r="C30" t="s">
        <v>95</v>
      </c>
      <c r="D30">
        <f>'Kunjungan Memulai PrEP'!CD1</f>
        <v>0</v>
      </c>
    </row>
    <row r="31" spans="2:4" x14ac:dyDescent="0.3">
      <c r="B31">
        <v>6</v>
      </c>
      <c r="C31" t="s">
        <v>96</v>
      </c>
      <c r="D31">
        <f>'Kunjungan Memulai PrEP'!CE1</f>
        <v>0</v>
      </c>
    </row>
    <row r="32" spans="2:4" x14ac:dyDescent="0.3">
      <c r="B32">
        <v>7</v>
      </c>
      <c r="C32" t="s">
        <v>97</v>
      </c>
      <c r="D32">
        <f>'Kunjungan Memulai PrEP'!CF1</f>
        <v>0</v>
      </c>
    </row>
    <row r="33" spans="2:4" x14ac:dyDescent="0.3">
      <c r="B33">
        <v>8</v>
      </c>
      <c r="C33" t="s">
        <v>98</v>
      </c>
      <c r="D33">
        <f>'Kunjungan Memulai PrEP'!CG1</f>
        <v>0</v>
      </c>
    </row>
    <row r="34" spans="2:4" x14ac:dyDescent="0.3">
      <c r="B34">
        <v>9</v>
      </c>
      <c r="C34" t="s">
        <v>99</v>
      </c>
      <c r="D34">
        <f>'Kunjungan Memulai PrEP'!CH1</f>
        <v>0</v>
      </c>
    </row>
    <row r="35" spans="2:4" x14ac:dyDescent="0.3">
      <c r="B35">
        <v>10</v>
      </c>
      <c r="C35" t="s">
        <v>100</v>
      </c>
      <c r="D35">
        <f>'Kunjungan Memulai PrEP'!CI1</f>
        <v>0</v>
      </c>
    </row>
    <row r="36" spans="2:4" x14ac:dyDescent="0.3">
      <c r="B36">
        <v>11</v>
      </c>
      <c r="C36" t="s">
        <v>101</v>
      </c>
      <c r="D36">
        <f>'Kunjungan Memulai PrEP'!CJ1</f>
        <v>0</v>
      </c>
    </row>
    <row r="37" spans="2:4" x14ac:dyDescent="0.3">
      <c r="B37">
        <v>12</v>
      </c>
      <c r="C37" t="s">
        <v>102</v>
      </c>
      <c r="D37">
        <f>'Kunjungan Memulai PrEP'!CK1</f>
        <v>0</v>
      </c>
    </row>
    <row r="38" spans="2:4" x14ac:dyDescent="0.3">
      <c r="B38">
        <v>13</v>
      </c>
      <c r="C38" t="s">
        <v>103</v>
      </c>
      <c r="D38">
        <f>'Kunjungan Memulai PrEP'!CL1</f>
        <v>0</v>
      </c>
    </row>
    <row r="39" spans="2:4" x14ac:dyDescent="0.3">
      <c r="B39">
        <v>14</v>
      </c>
      <c r="C39" t="s">
        <v>104</v>
      </c>
      <c r="D39">
        <f>'Kunjungan Memulai PrEP'!CM1</f>
        <v>0</v>
      </c>
    </row>
    <row r="40" spans="2:4" x14ac:dyDescent="0.3">
      <c r="B40">
        <v>15</v>
      </c>
      <c r="C40" t="s">
        <v>105</v>
      </c>
      <c r="D40">
        <f>'Kunjungan Memulai PrEP'!CN1</f>
        <v>0</v>
      </c>
    </row>
    <row r="41" spans="2:4" x14ac:dyDescent="0.3">
      <c r="B41">
        <v>16</v>
      </c>
      <c r="C41" t="s">
        <v>106</v>
      </c>
      <c r="D41">
        <f>'Kunjungan Memulai PrEP'!CO1</f>
        <v>0</v>
      </c>
    </row>
    <row r="42" spans="2:4" x14ac:dyDescent="0.3">
      <c r="B42">
        <v>17</v>
      </c>
      <c r="C42" t="s">
        <v>107</v>
      </c>
      <c r="D42">
        <f>'Kunjungan Memulai PrEP'!CP1</f>
        <v>0</v>
      </c>
    </row>
    <row r="43" spans="2:4" x14ac:dyDescent="0.3">
      <c r="B43">
        <v>18</v>
      </c>
      <c r="C43" t="s">
        <v>108</v>
      </c>
      <c r="D43">
        <f>'Kunjungan Memulai PrEP'!CQ1</f>
        <v>0</v>
      </c>
    </row>
    <row r="44" spans="2:4" x14ac:dyDescent="0.3">
      <c r="B44">
        <v>19</v>
      </c>
      <c r="C44" t="s">
        <v>109</v>
      </c>
      <c r="D44">
        <f>'Kunjungan Memulai PrEP'!CR1</f>
        <v>0</v>
      </c>
    </row>
    <row r="45" spans="2:4" x14ac:dyDescent="0.3">
      <c r="B45">
        <v>20</v>
      </c>
      <c r="C45" t="s">
        <v>110</v>
      </c>
      <c r="D45">
        <f>'Kunjungan Memulai PrEP'!CS1</f>
        <v>0</v>
      </c>
    </row>
    <row r="46" spans="2:4" x14ac:dyDescent="0.3">
      <c r="B46">
        <v>21</v>
      </c>
      <c r="C46" t="s">
        <v>111</v>
      </c>
      <c r="D46">
        <f>'Kunjungan Memulai PrEP'!CT1</f>
        <v>0</v>
      </c>
    </row>
    <row r="47" spans="2:4" x14ac:dyDescent="0.3">
      <c r="B47">
        <v>22</v>
      </c>
      <c r="C47" t="s">
        <v>112</v>
      </c>
      <c r="D47">
        <f>'Kunjungan Memulai PrEP'!CU1</f>
        <v>0</v>
      </c>
    </row>
    <row r="48" spans="2:4" x14ac:dyDescent="0.3">
      <c r="B48">
        <v>23</v>
      </c>
      <c r="C48" t="s">
        <v>113</v>
      </c>
      <c r="D48">
        <f>'Kunjungan Memulai PrEP'!CV1</f>
        <v>0</v>
      </c>
    </row>
    <row r="49" spans="2:4" x14ac:dyDescent="0.3">
      <c r="B49">
        <v>24</v>
      </c>
      <c r="C49" t="s">
        <v>114</v>
      </c>
      <c r="D49">
        <f>'Kunjungan Memulai PrEP'!CW1</f>
        <v>0</v>
      </c>
    </row>
    <row r="50" spans="2:4" x14ac:dyDescent="0.3">
      <c r="B50">
        <v>25</v>
      </c>
      <c r="C50" t="s">
        <v>115</v>
      </c>
      <c r="D50">
        <f>'Kunjungan Memulai PrEP'!CX1</f>
        <v>0</v>
      </c>
    </row>
    <row r="51" spans="2:4" x14ac:dyDescent="0.3">
      <c r="B51">
        <v>26</v>
      </c>
      <c r="C51" t="s">
        <v>116</v>
      </c>
      <c r="D51">
        <f>'Kunjungan Memulai PrEP'!CY1</f>
        <v>0</v>
      </c>
    </row>
    <row r="52" spans="2:4" x14ac:dyDescent="0.3">
      <c r="B52">
        <v>27</v>
      </c>
      <c r="C52" t="s">
        <v>117</v>
      </c>
      <c r="D52">
        <f>'Kunjungan Memulai PrEP'!CZ1</f>
        <v>0</v>
      </c>
    </row>
    <row r="53" spans="2:4" x14ac:dyDescent="0.3">
      <c r="B53">
        <v>28</v>
      </c>
      <c r="C53" t="s">
        <v>118</v>
      </c>
      <c r="D53">
        <f>'Kunjungan Memulai PrEP'!DA1</f>
        <v>0</v>
      </c>
    </row>
    <row r="54" spans="2:4" x14ac:dyDescent="0.3">
      <c r="B54">
        <v>29</v>
      </c>
      <c r="C54" t="s">
        <v>119</v>
      </c>
      <c r="D54">
        <f>'Kunjungan Memulai PrEP'!DB1</f>
        <v>0</v>
      </c>
    </row>
    <row r="55" spans="2:4" x14ac:dyDescent="0.3">
      <c r="B55">
        <v>30</v>
      </c>
      <c r="C55" t="s">
        <v>120</v>
      </c>
      <c r="D55">
        <f>'Kunjungan Memulai PrEP'!DC1</f>
        <v>0</v>
      </c>
    </row>
    <row r="56" spans="2:4" x14ac:dyDescent="0.3">
      <c r="B56">
        <v>31</v>
      </c>
      <c r="C56" t="s">
        <v>121</v>
      </c>
      <c r="D56">
        <f>'Kunjungan Memulai PrEP'!DD1</f>
        <v>0</v>
      </c>
    </row>
    <row r="57" spans="2:4" x14ac:dyDescent="0.3">
      <c r="B57">
        <v>32</v>
      </c>
      <c r="C57" t="s">
        <v>122</v>
      </c>
      <c r="D57">
        <f>'Kunjungan Memulai PrEP'!DE1</f>
        <v>0</v>
      </c>
    </row>
    <row r="58" spans="2:4" x14ac:dyDescent="0.3">
      <c r="B58">
        <v>33</v>
      </c>
      <c r="C58" t="s">
        <v>123</v>
      </c>
      <c r="D58">
        <f>'Kunjungan Memulai PrEP'!DF1</f>
        <v>0</v>
      </c>
    </row>
    <row r="59" spans="2:4" x14ac:dyDescent="0.3">
      <c r="B59">
        <v>34</v>
      </c>
      <c r="C59" t="s">
        <v>124</v>
      </c>
      <c r="D59">
        <f>'Kunjungan Memulai PrEP'!DG1</f>
        <v>0</v>
      </c>
    </row>
    <row r="60" spans="2:4" x14ac:dyDescent="0.3">
      <c r="B60">
        <v>35</v>
      </c>
      <c r="C60" t="s">
        <v>125</v>
      </c>
      <c r="D60">
        <f>'Kunjungan Memulai PrEP'!DH1</f>
        <v>0</v>
      </c>
    </row>
    <row r="61" spans="2:4" x14ac:dyDescent="0.3">
      <c r="B61">
        <v>36</v>
      </c>
      <c r="C61" t="s">
        <v>126</v>
      </c>
      <c r="D61">
        <f>'Kunjungan Memulai PrEP'!DI1</f>
        <v>0</v>
      </c>
    </row>
    <row r="62" spans="2:4" x14ac:dyDescent="0.3">
      <c r="B62">
        <v>37</v>
      </c>
      <c r="C62" t="s">
        <v>127</v>
      </c>
      <c r="D62">
        <f>'Kunjungan Memulai PrEP'!DJ1</f>
        <v>0</v>
      </c>
    </row>
    <row r="63" spans="2:4" x14ac:dyDescent="0.3">
      <c r="B63">
        <v>38</v>
      </c>
      <c r="C63" t="s">
        <v>128</v>
      </c>
      <c r="D63">
        <f>'Kunjungan Memulai PrEP'!DK1</f>
        <v>0</v>
      </c>
    </row>
    <row r="64" spans="2:4" x14ac:dyDescent="0.3">
      <c r="B64">
        <v>39</v>
      </c>
      <c r="C64" t="s">
        <v>129</v>
      </c>
      <c r="D64">
        <f>'Kunjungan Memulai PrEP'!DL1</f>
        <v>0</v>
      </c>
    </row>
    <row r="65" spans="2:4" x14ac:dyDescent="0.3">
      <c r="B65">
        <v>40</v>
      </c>
      <c r="C65" t="s">
        <v>130</v>
      </c>
      <c r="D65">
        <f>'Kunjungan Memulai PrEP'!DM1</f>
        <v>0</v>
      </c>
    </row>
    <row r="66" spans="2:4" x14ac:dyDescent="0.3">
      <c r="B66">
        <v>41</v>
      </c>
      <c r="C66" t="s">
        <v>69</v>
      </c>
      <c r="D66">
        <f>'Kunjungan Memulai PrEP'!DN1</f>
        <v>0</v>
      </c>
    </row>
    <row r="67" spans="2:4" x14ac:dyDescent="0.3">
      <c r="B67">
        <v>42</v>
      </c>
      <c r="C67" t="s">
        <v>131</v>
      </c>
      <c r="D67">
        <f>'Kunjungan Memulai PrEP'!DO1</f>
        <v>0</v>
      </c>
    </row>
    <row r="68" spans="2:4" x14ac:dyDescent="0.3">
      <c r="B68">
        <v>43</v>
      </c>
      <c r="C68" t="s">
        <v>132</v>
      </c>
      <c r="D68">
        <f>'Kunjungan Memulai PrEP'!DP1</f>
        <v>0</v>
      </c>
    </row>
    <row r="69" spans="2:4" x14ac:dyDescent="0.3">
      <c r="B69">
        <v>44</v>
      </c>
      <c r="C69" t="s">
        <v>133</v>
      </c>
      <c r="D69">
        <f>'Kunjungan Memulai PrEP'!DQ1</f>
        <v>0</v>
      </c>
    </row>
    <row r="70" spans="2:4" x14ac:dyDescent="0.3">
      <c r="B70">
        <v>45</v>
      </c>
      <c r="C70" t="s">
        <v>134</v>
      </c>
      <c r="D70">
        <f>'Kunjungan Memulai PrEP'!DR1</f>
        <v>0</v>
      </c>
    </row>
    <row r="71" spans="2:4" x14ac:dyDescent="0.3">
      <c r="B71">
        <v>46</v>
      </c>
      <c r="C71" t="s">
        <v>135</v>
      </c>
      <c r="D71">
        <f>'Kunjungan Memulai PrEP'!DS1</f>
        <v>0</v>
      </c>
    </row>
    <row r="75" spans="2:4" x14ac:dyDescent="0.3">
      <c r="B75" s="12" t="s">
        <v>0</v>
      </c>
      <c r="C75" s="12" t="s">
        <v>329</v>
      </c>
      <c r="D75" s="12" t="s">
        <v>330</v>
      </c>
    </row>
    <row r="76" spans="2:4" x14ac:dyDescent="0.3">
      <c r="B76" s="12"/>
      <c r="C76" s="12" t="s">
        <v>334</v>
      </c>
      <c r="D76" s="12">
        <f>SUM(D77:D131)</f>
        <v>0</v>
      </c>
    </row>
    <row r="77" spans="2:4" x14ac:dyDescent="0.3">
      <c r="B77">
        <v>1</v>
      </c>
      <c r="C77" t="s">
        <v>2</v>
      </c>
      <c r="D77">
        <f>'Kunjungan rutin PrEP'!CY1</f>
        <v>0</v>
      </c>
    </row>
    <row r="78" spans="2:4" x14ac:dyDescent="0.3">
      <c r="B78">
        <v>2</v>
      </c>
      <c r="C78" t="s">
        <v>8</v>
      </c>
      <c r="D78">
        <f>'Kunjungan rutin PrEP'!CZ1</f>
        <v>0</v>
      </c>
    </row>
    <row r="79" spans="2:4" x14ac:dyDescent="0.3">
      <c r="B79">
        <v>3</v>
      </c>
      <c r="C79" t="s">
        <v>20</v>
      </c>
      <c r="D79">
        <f>'Kunjungan rutin PrEP'!DA1</f>
        <v>0</v>
      </c>
    </row>
    <row r="80" spans="2:4" x14ac:dyDescent="0.3">
      <c r="B80">
        <v>4</v>
      </c>
      <c r="C80" t="s">
        <v>176</v>
      </c>
      <c r="D80">
        <f>'Kunjungan rutin PrEP'!DB1</f>
        <v>0</v>
      </c>
    </row>
    <row r="81" spans="2:4" x14ac:dyDescent="0.3">
      <c r="B81">
        <v>5</v>
      </c>
      <c r="C81" t="s">
        <v>42</v>
      </c>
      <c r="D81">
        <f>'Kunjungan rutin PrEP'!DC1</f>
        <v>0</v>
      </c>
    </row>
    <row r="82" spans="2:4" x14ac:dyDescent="0.3">
      <c r="B82">
        <v>6</v>
      </c>
      <c r="C82" t="s">
        <v>310</v>
      </c>
      <c r="D82">
        <f>'Kunjungan rutin PrEP'!DD1</f>
        <v>0</v>
      </c>
    </row>
    <row r="83" spans="2:4" x14ac:dyDescent="0.3">
      <c r="B83">
        <v>7</v>
      </c>
      <c r="C83" t="s">
        <v>178</v>
      </c>
      <c r="D83">
        <f>'Kunjungan rutin PrEP'!DE1</f>
        <v>0</v>
      </c>
    </row>
    <row r="84" spans="2:4" x14ac:dyDescent="0.3">
      <c r="B84">
        <v>8</v>
      </c>
      <c r="C84" t="s">
        <v>179</v>
      </c>
      <c r="D84">
        <f>'Kunjungan rutin PrEP'!DF1</f>
        <v>0</v>
      </c>
    </row>
    <row r="85" spans="2:4" x14ac:dyDescent="0.3">
      <c r="B85">
        <v>9</v>
      </c>
      <c r="C85" t="s">
        <v>180</v>
      </c>
      <c r="D85">
        <f>'Kunjungan rutin PrEP'!DG1</f>
        <v>0</v>
      </c>
    </row>
    <row r="86" spans="2:4" x14ac:dyDescent="0.3">
      <c r="B86">
        <v>10</v>
      </c>
      <c r="C86" t="s">
        <v>181</v>
      </c>
      <c r="D86">
        <f>'Kunjungan rutin PrEP'!DH1</f>
        <v>0</v>
      </c>
    </row>
    <row r="87" spans="2:4" x14ac:dyDescent="0.3">
      <c r="B87">
        <v>11</v>
      </c>
      <c r="C87" t="s">
        <v>182</v>
      </c>
      <c r="D87">
        <f>'Kunjungan rutin PrEP'!DI1</f>
        <v>0</v>
      </c>
    </row>
    <row r="88" spans="2:4" x14ac:dyDescent="0.3">
      <c r="B88">
        <v>12</v>
      </c>
      <c r="C88" t="s">
        <v>183</v>
      </c>
      <c r="D88">
        <f>'Kunjungan rutin PrEP'!DJ1</f>
        <v>0</v>
      </c>
    </row>
    <row r="89" spans="2:4" x14ac:dyDescent="0.3">
      <c r="B89">
        <v>13</v>
      </c>
      <c r="C89" t="s">
        <v>184</v>
      </c>
      <c r="D89">
        <f>'Kunjungan rutin PrEP'!DK1</f>
        <v>0</v>
      </c>
    </row>
    <row r="90" spans="2:4" x14ac:dyDescent="0.3">
      <c r="B90">
        <v>14</v>
      </c>
      <c r="C90" t="s">
        <v>185</v>
      </c>
      <c r="D90">
        <f>'Kunjungan rutin PrEP'!DL1</f>
        <v>0</v>
      </c>
    </row>
    <row r="91" spans="2:4" x14ac:dyDescent="0.3">
      <c r="B91">
        <v>15</v>
      </c>
      <c r="C91" t="s">
        <v>186</v>
      </c>
      <c r="D91">
        <f>'Kunjungan rutin PrEP'!DM1</f>
        <v>0</v>
      </c>
    </row>
    <row r="92" spans="2:4" x14ac:dyDescent="0.3">
      <c r="B92">
        <v>16</v>
      </c>
      <c r="C92" t="s">
        <v>187</v>
      </c>
      <c r="D92">
        <f>'Kunjungan rutin PrEP'!DN1</f>
        <v>0</v>
      </c>
    </row>
    <row r="93" spans="2:4" x14ac:dyDescent="0.3">
      <c r="B93">
        <v>17</v>
      </c>
      <c r="C93" t="s">
        <v>188</v>
      </c>
      <c r="D93">
        <f>'Kunjungan rutin PrEP'!DO1</f>
        <v>0</v>
      </c>
    </row>
    <row r="94" spans="2:4" x14ac:dyDescent="0.3">
      <c r="B94">
        <v>18</v>
      </c>
      <c r="C94" t="s">
        <v>189</v>
      </c>
      <c r="D94">
        <f>'Kunjungan rutin PrEP'!DP1</f>
        <v>0</v>
      </c>
    </row>
    <row r="95" spans="2:4" x14ac:dyDescent="0.3">
      <c r="B95">
        <v>19</v>
      </c>
      <c r="C95" t="s">
        <v>190</v>
      </c>
      <c r="D95">
        <f>'Kunjungan rutin PrEP'!DQ1</f>
        <v>0</v>
      </c>
    </row>
    <row r="96" spans="2:4" x14ac:dyDescent="0.3">
      <c r="B96">
        <v>20</v>
      </c>
      <c r="C96" t="s">
        <v>191</v>
      </c>
      <c r="D96">
        <f>'Kunjungan rutin PrEP'!DR1</f>
        <v>0</v>
      </c>
    </row>
    <row r="97" spans="2:4" x14ac:dyDescent="0.3">
      <c r="B97">
        <v>21</v>
      </c>
      <c r="C97" t="s">
        <v>192</v>
      </c>
      <c r="D97">
        <f>'Kunjungan rutin PrEP'!DS1</f>
        <v>0</v>
      </c>
    </row>
    <row r="98" spans="2:4" x14ac:dyDescent="0.3">
      <c r="B98">
        <v>22</v>
      </c>
      <c r="C98" t="s">
        <v>193</v>
      </c>
      <c r="D98">
        <f>'Kunjungan rutin PrEP'!DT1</f>
        <v>0</v>
      </c>
    </row>
    <row r="99" spans="2:4" x14ac:dyDescent="0.3">
      <c r="B99">
        <v>23</v>
      </c>
      <c r="C99" t="s">
        <v>194</v>
      </c>
      <c r="D99">
        <f>'Kunjungan rutin PrEP'!DU1</f>
        <v>0</v>
      </c>
    </row>
    <row r="100" spans="2:4" x14ac:dyDescent="0.3">
      <c r="B100">
        <v>24</v>
      </c>
      <c r="C100" t="s">
        <v>195</v>
      </c>
      <c r="D100">
        <f>'Kunjungan rutin PrEP'!DV1</f>
        <v>0</v>
      </c>
    </row>
    <row r="101" spans="2:4" x14ac:dyDescent="0.3">
      <c r="B101">
        <v>25</v>
      </c>
      <c r="C101" t="s">
        <v>196</v>
      </c>
      <c r="D101">
        <f>'Kunjungan rutin PrEP'!DW1</f>
        <v>0</v>
      </c>
    </row>
    <row r="102" spans="2:4" x14ac:dyDescent="0.3">
      <c r="B102">
        <v>26</v>
      </c>
      <c r="C102" t="s">
        <v>69</v>
      </c>
      <c r="D102">
        <f>'Kunjungan rutin PrEP'!DX1</f>
        <v>0</v>
      </c>
    </row>
    <row r="103" spans="2:4" x14ac:dyDescent="0.3">
      <c r="B103">
        <v>27</v>
      </c>
      <c r="C103" t="s">
        <v>197</v>
      </c>
      <c r="D103">
        <f>'Kunjungan rutin PrEP'!DY1</f>
        <v>0</v>
      </c>
    </row>
    <row r="104" spans="2:4" x14ac:dyDescent="0.3">
      <c r="B104">
        <v>28</v>
      </c>
      <c r="C104" t="s">
        <v>198</v>
      </c>
      <c r="D104">
        <f>'Kunjungan rutin PrEP'!DZ1</f>
        <v>0</v>
      </c>
    </row>
    <row r="105" spans="2:4" x14ac:dyDescent="0.3">
      <c r="B105">
        <v>29</v>
      </c>
      <c r="C105" t="s">
        <v>199</v>
      </c>
      <c r="D105">
        <f>'Kunjungan rutin PrEP'!EA1</f>
        <v>0</v>
      </c>
    </row>
    <row r="106" spans="2:4" x14ac:dyDescent="0.3">
      <c r="B106">
        <v>30</v>
      </c>
      <c r="C106" t="s">
        <v>200</v>
      </c>
      <c r="D106">
        <f>'Kunjungan rutin PrEP'!EB1</f>
        <v>0</v>
      </c>
    </row>
    <row r="107" spans="2:4" x14ac:dyDescent="0.3">
      <c r="B107">
        <v>31</v>
      </c>
      <c r="C107" t="s">
        <v>201</v>
      </c>
      <c r="D107">
        <f>'Kunjungan rutin PrEP'!EC1</f>
        <v>0</v>
      </c>
    </row>
    <row r="108" spans="2:4" x14ac:dyDescent="0.3">
      <c r="B108">
        <v>32</v>
      </c>
      <c r="C108" t="s">
        <v>202</v>
      </c>
      <c r="D108">
        <f>'Kunjungan rutin PrEP'!ED1</f>
        <v>0</v>
      </c>
    </row>
    <row r="109" spans="2:4" x14ac:dyDescent="0.3">
      <c r="B109">
        <v>33</v>
      </c>
      <c r="C109" t="s">
        <v>203</v>
      </c>
      <c r="D109">
        <f>'Kunjungan rutin PrEP'!EE1</f>
        <v>0</v>
      </c>
    </row>
    <row r="110" spans="2:4" x14ac:dyDescent="0.3">
      <c r="B110">
        <v>34</v>
      </c>
      <c r="C110" t="s">
        <v>204</v>
      </c>
      <c r="D110">
        <f>'Kunjungan rutin PrEP'!EF1</f>
        <v>0</v>
      </c>
    </row>
    <row r="111" spans="2:4" x14ac:dyDescent="0.3">
      <c r="B111">
        <v>35</v>
      </c>
      <c r="C111" t="s">
        <v>205</v>
      </c>
      <c r="D111">
        <f>'Kunjungan rutin PrEP'!EG1</f>
        <v>0</v>
      </c>
    </row>
    <row r="112" spans="2:4" x14ac:dyDescent="0.3">
      <c r="B112">
        <v>36</v>
      </c>
      <c r="C112" t="s">
        <v>206</v>
      </c>
      <c r="D112">
        <f>'Kunjungan rutin PrEP'!EH1</f>
        <v>0</v>
      </c>
    </row>
    <row r="113" spans="2:4" x14ac:dyDescent="0.3">
      <c r="B113">
        <v>37</v>
      </c>
      <c r="C113" t="s">
        <v>207</v>
      </c>
      <c r="D113">
        <f>'Kunjungan rutin PrEP'!EI1</f>
        <v>0</v>
      </c>
    </row>
    <row r="114" spans="2:4" x14ac:dyDescent="0.3">
      <c r="B114">
        <v>38</v>
      </c>
      <c r="C114" t="s">
        <v>208</v>
      </c>
      <c r="D114">
        <f>'Kunjungan rutin PrEP'!EJ1</f>
        <v>0</v>
      </c>
    </row>
    <row r="115" spans="2:4" x14ac:dyDescent="0.3">
      <c r="B115">
        <v>39</v>
      </c>
      <c r="C115" t="s">
        <v>209</v>
      </c>
      <c r="D115">
        <f>'Kunjungan rutin PrEP'!EK1</f>
        <v>0</v>
      </c>
    </row>
    <row r="116" spans="2:4" x14ac:dyDescent="0.3">
      <c r="B116">
        <v>40</v>
      </c>
      <c r="C116" t="s">
        <v>210</v>
      </c>
      <c r="D116">
        <f>'Kunjungan rutin PrEP'!EL1</f>
        <v>0</v>
      </c>
    </row>
    <row r="117" spans="2:4" x14ac:dyDescent="0.3">
      <c r="B117">
        <v>41</v>
      </c>
      <c r="C117" t="s">
        <v>211</v>
      </c>
      <c r="D117">
        <f>'Kunjungan rutin PrEP'!EM1</f>
        <v>0</v>
      </c>
    </row>
    <row r="118" spans="2:4" x14ac:dyDescent="0.3">
      <c r="B118">
        <v>42</v>
      </c>
      <c r="C118" t="s">
        <v>212</v>
      </c>
      <c r="D118">
        <f>'Kunjungan rutin PrEP'!EN1</f>
        <v>0</v>
      </c>
    </row>
    <row r="119" spans="2:4" x14ac:dyDescent="0.3">
      <c r="B119">
        <v>43</v>
      </c>
      <c r="C119" t="s">
        <v>66</v>
      </c>
      <c r="D119">
        <f>'Kunjungan rutin PrEP'!EO1</f>
        <v>0</v>
      </c>
    </row>
    <row r="120" spans="2:4" x14ac:dyDescent="0.3">
      <c r="B120">
        <v>44</v>
      </c>
      <c r="C120" t="s">
        <v>213</v>
      </c>
      <c r="D120">
        <f>'Kunjungan rutin PrEP'!EP1</f>
        <v>0</v>
      </c>
    </row>
    <row r="121" spans="2:4" x14ac:dyDescent="0.3">
      <c r="B121">
        <v>45</v>
      </c>
      <c r="C121" t="s">
        <v>214</v>
      </c>
      <c r="D121">
        <f>'Kunjungan rutin PrEP'!EQ1</f>
        <v>0</v>
      </c>
    </row>
    <row r="122" spans="2:4" x14ac:dyDescent="0.3">
      <c r="B122">
        <v>46</v>
      </c>
      <c r="C122" t="s">
        <v>215</v>
      </c>
      <c r="D122">
        <f>'Kunjungan rutin PrEP'!ER1</f>
        <v>0</v>
      </c>
    </row>
    <row r="123" spans="2:4" x14ac:dyDescent="0.3">
      <c r="B123">
        <v>47</v>
      </c>
      <c r="C123" t="s">
        <v>216</v>
      </c>
      <c r="D123">
        <f>'Kunjungan rutin PrEP'!ES1</f>
        <v>0</v>
      </c>
    </row>
    <row r="124" spans="2:4" x14ac:dyDescent="0.3">
      <c r="B124">
        <v>48</v>
      </c>
      <c r="C124" t="s">
        <v>217</v>
      </c>
      <c r="D124">
        <f>'Kunjungan rutin PrEP'!ET1</f>
        <v>0</v>
      </c>
    </row>
    <row r="125" spans="2:4" x14ac:dyDescent="0.3">
      <c r="B125">
        <v>49</v>
      </c>
      <c r="C125" t="s">
        <v>218</v>
      </c>
      <c r="D125">
        <f>'Kunjungan rutin PrEP'!EU1</f>
        <v>0</v>
      </c>
    </row>
    <row r="126" spans="2:4" x14ac:dyDescent="0.3">
      <c r="B126">
        <v>50</v>
      </c>
      <c r="C126" t="s">
        <v>219</v>
      </c>
      <c r="D126">
        <f>'Kunjungan rutin PrEP'!EV1</f>
        <v>0</v>
      </c>
    </row>
    <row r="127" spans="2:4" x14ac:dyDescent="0.3">
      <c r="B127">
        <v>51</v>
      </c>
      <c r="C127" t="s">
        <v>220</v>
      </c>
      <c r="D127">
        <f>'Kunjungan rutin PrEP'!EW1</f>
        <v>0</v>
      </c>
    </row>
    <row r="128" spans="2:4" x14ac:dyDescent="0.3">
      <c r="B128">
        <v>52</v>
      </c>
      <c r="C128" t="s">
        <v>221</v>
      </c>
      <c r="D128">
        <f>'Kunjungan rutin PrEP'!EX1</f>
        <v>0</v>
      </c>
    </row>
    <row r="129" spans="2:4" x14ac:dyDescent="0.3">
      <c r="B129">
        <v>53</v>
      </c>
      <c r="C129" t="s">
        <v>332</v>
      </c>
      <c r="D129">
        <f>'Kunjungan rutin PrEP'!EY1</f>
        <v>0</v>
      </c>
    </row>
    <row r="130" spans="2:4" x14ac:dyDescent="0.3">
      <c r="B130">
        <v>54</v>
      </c>
      <c r="C130" t="s">
        <v>333</v>
      </c>
      <c r="D130">
        <f>'Kunjungan rutin PrEP'!EZ1</f>
        <v>0</v>
      </c>
    </row>
    <row r="131" spans="2:4" x14ac:dyDescent="0.3">
      <c r="B131">
        <v>55</v>
      </c>
      <c r="C131" t="s">
        <v>224</v>
      </c>
      <c r="D131">
        <f>'Kunjungan rutin PrEP'!FA1</f>
        <v>0</v>
      </c>
    </row>
  </sheetData>
  <pageMargins left="0.7" right="0.7" top="0.75" bottom="0.75" header="0.3" footer="0.3"/>
  <pageSetup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120</vt:i4>
      </vt:variant>
    </vt:vector>
  </HeadingPairs>
  <TitlesOfParts>
    <vt:vector size="131" baseType="lpstr">
      <vt:lpstr>Penawaran PrEP</vt:lpstr>
      <vt:lpstr>Daftar Pasien Baru</vt:lpstr>
      <vt:lpstr>Daftar Kunjungan</vt:lpstr>
      <vt:lpstr>Kunjungan Memulai PrEP</vt:lpstr>
      <vt:lpstr>Kunjungan rutin PrEP</vt:lpstr>
      <vt:lpstr>Kunjungan Insidental</vt:lpstr>
      <vt:lpstr>Pemberian Obat</vt:lpstr>
      <vt:lpstr>Menu</vt:lpstr>
      <vt:lpstr>admin_prep</vt:lpstr>
      <vt:lpstr>bat</vt:lpstr>
      <vt:lpstr>validasi</vt:lpstr>
      <vt:lpstr>app_name</vt:lpstr>
      <vt:lpstr>app_version</vt:lpstr>
      <vt:lpstr>day_2digit</vt:lpstr>
      <vt:lpstr>format_date</vt:lpstr>
      <vt:lpstr>format_date_chrome</vt:lpstr>
      <vt:lpstr>hasil_hiv</vt:lpstr>
      <vt:lpstr>hasil_sifilis</vt:lpstr>
      <vt:lpstr>informasi_prep</vt:lpstr>
      <vt:lpstr>jenis_kelamin</vt:lpstr>
      <vt:lpstr>jml_data_cek_valid</vt:lpstr>
      <vt:lpstr>jml_data_cek_valid_insi</vt:lpstr>
      <vt:lpstr>jml_data_cek_valid_kunj</vt:lpstr>
      <vt:lpstr>jml_data_cek_valid_mulai</vt:lpstr>
      <vt:lpstr>jml_data_cek_valid_obat</vt:lpstr>
      <vt:lpstr>jml_data_cek_valid_rutin</vt:lpstr>
      <vt:lpstr>jml_data_cek_valid_tawar</vt:lpstr>
      <vt:lpstr>jml_data_tidak_valid</vt:lpstr>
      <vt:lpstr>jml_data_tidak_valid_insi</vt:lpstr>
      <vt:lpstr>jml_data_tidak_valid_kunj</vt:lpstr>
      <vt:lpstr>jml_data_tidak_valid_mulai</vt:lpstr>
      <vt:lpstr>jml_data_tidak_valid_rutin</vt:lpstr>
      <vt:lpstr>jml_data_tidak_valid_tawar</vt:lpstr>
      <vt:lpstr>jml_kunj_keperluan_tidak_valid</vt:lpstr>
      <vt:lpstr>jml_kunj_nik_tidak_valid</vt:lpstr>
      <vt:lpstr>jml_kunj_tanggal_tidak_valid</vt:lpstr>
      <vt:lpstr>kehamilan</vt:lpstr>
      <vt:lpstr>kepatuhan</vt:lpstr>
      <vt:lpstr>keperluan_kunjungan</vt:lpstr>
      <vt:lpstr>klp_risiko</vt:lpstr>
      <vt:lpstr>last_used_row</vt:lpstr>
      <vt:lpstr>last_used_row_daftar</vt:lpstr>
      <vt:lpstr>last_used_row_insi</vt:lpstr>
      <vt:lpstr>last_used_row_kunj</vt:lpstr>
      <vt:lpstr>last_used_row_obat</vt:lpstr>
      <vt:lpstr>last_used_row_rutin</vt:lpstr>
      <vt:lpstr>last_used_row_tawar</vt:lpstr>
      <vt:lpstr>menu1</vt:lpstr>
      <vt:lpstr>menu1_isi</vt:lpstr>
      <vt:lpstr>menu2</vt:lpstr>
      <vt:lpstr>menu2_isi</vt:lpstr>
      <vt:lpstr>menu3</vt:lpstr>
      <vt:lpstr>menu3_isi</vt:lpstr>
      <vt:lpstr>metode_prep</vt:lpstr>
      <vt:lpstr>metode_prep_kunjungan</vt:lpstr>
      <vt:lpstr>month_2digit</vt:lpstr>
      <vt:lpstr>penawaran_status</vt:lpstr>
      <vt:lpstr>pernah_prep</vt:lpstr>
      <vt:lpstr>rejimen_prep</vt:lpstr>
      <vt:lpstr>rutin_ke</vt:lpstr>
      <vt:lpstr>seks_melalui</vt:lpstr>
      <vt:lpstr>setuju</vt:lpstr>
      <vt:lpstr>simpan_final</vt:lpstr>
      <vt:lpstr>status_mulai_prep</vt:lpstr>
      <vt:lpstr>stop_prep</vt:lpstr>
      <vt:lpstr>terakhir_prep</vt:lpstr>
      <vt:lpstr>tidak_only</vt:lpstr>
      <vt:lpstr>url_prep</vt:lpstr>
      <vt:lpstr>url_siha</vt:lpstr>
      <vt:lpstr>val_insi_jml</vt:lpstr>
      <vt:lpstr>val_kunj_jml</vt:lpstr>
      <vt:lpstr>val_kunj_keperluan</vt:lpstr>
      <vt:lpstr>val_kunj_nik</vt:lpstr>
      <vt:lpstr>val_kunj_tanggal</vt:lpstr>
      <vt:lpstr>val_mulai_alat_hiv</vt:lpstr>
      <vt:lpstr>val_mulai_bb</vt:lpstr>
      <vt:lpstr>val_mulai_hasil_hiv</vt:lpstr>
      <vt:lpstr>val_mulai_iha_kondom</vt:lpstr>
      <vt:lpstr>val_mulai_iha_sakit</vt:lpstr>
      <vt:lpstr>val_mulai_ims</vt:lpstr>
      <vt:lpstr>val_mulai_info</vt:lpstr>
      <vt:lpstr>val_mulai_jml</vt:lpstr>
      <vt:lpstr>val_mulai_jml_obat</vt:lpstr>
      <vt:lpstr>val_mulai_jml_sex</vt:lpstr>
      <vt:lpstr>val_mulai_jml_sex_laki</vt:lpstr>
      <vt:lpstr>val_mulai_jml_sex_per</vt:lpstr>
      <vt:lpstr>val_mulai_kembali_alasan</vt:lpstr>
      <vt:lpstr>val_mulai_kembali_metode</vt:lpstr>
      <vt:lpstr>val_mulai_kembali_waktu</vt:lpstr>
      <vt:lpstr>val_mulai_pasangan_anak</vt:lpstr>
      <vt:lpstr>val_mulai_pasangan_arv_tdk_teratur</vt:lpstr>
      <vt:lpstr>val_mulai_pasangan_hamil</vt:lpstr>
      <vt:lpstr>val_mulai_pasangan_tdk_arv</vt:lpstr>
      <vt:lpstr>val_mulai_pasangan_tdk_vl</vt:lpstr>
      <vt:lpstr>val_mulai_pasangan_vl</vt:lpstr>
      <vt:lpstr>val_mulai_pasangan_vl_tdk_supres</vt:lpstr>
      <vt:lpstr>val_mulai_pernah_prep</vt:lpstr>
      <vt:lpstr>val_mulai_petugas</vt:lpstr>
      <vt:lpstr>val_mulai_prep_metode</vt:lpstr>
      <vt:lpstr>val_mulai_prep_rejimen</vt:lpstr>
      <vt:lpstr>val_mulai_prep_tgl</vt:lpstr>
      <vt:lpstr>val_mulai_rata_sex</vt:lpstr>
      <vt:lpstr>val_mulai_setuju</vt:lpstr>
      <vt:lpstr>val_mulai_sex_kondom</vt:lpstr>
      <vt:lpstr>val_mulai_sex_terakhir_kondom</vt:lpstr>
      <vt:lpstr>val_mulai_sifilis</vt:lpstr>
      <vt:lpstr>val_mulai_sifilis_hasil</vt:lpstr>
      <vt:lpstr>val_mulai_sifilis_no</vt:lpstr>
      <vt:lpstr>val_mulai_sifilis_tempat</vt:lpstr>
      <vt:lpstr>val_mulai_sifilis_tgl_ambil</vt:lpstr>
      <vt:lpstr>val_mulai_sifilis_tgl_keluar</vt:lpstr>
      <vt:lpstr>val_mulai_status</vt:lpstr>
      <vt:lpstr>val_mulai_sumber_info</vt:lpstr>
      <vt:lpstr>val_mulai_tawar</vt:lpstr>
      <vt:lpstr>val_mulai_tb</vt:lpstr>
      <vt:lpstr>val_mulai_td</vt:lpstr>
      <vt:lpstr>val_mulai_tempat_hiv</vt:lpstr>
      <vt:lpstr>val_mulai_tgl_hiv</vt:lpstr>
      <vt:lpstr>val_mulai_tgl_kunj</vt:lpstr>
      <vt:lpstr>val_mulai_tgl_selanjutnya</vt:lpstr>
      <vt:lpstr>val_obat_jml</vt:lpstr>
      <vt:lpstr>val_pasien_email</vt:lpstr>
      <vt:lpstr>val_pasien_jml</vt:lpstr>
      <vt:lpstr>val_rutin_jml</vt:lpstr>
      <vt:lpstr>val_tawar_jml</vt:lpstr>
      <vt:lpstr>validasi_ya</vt:lpstr>
      <vt:lpstr>web_type</vt:lpstr>
      <vt:lpstr>ya_only</vt:lpstr>
      <vt:lpstr>ya_proses</vt:lpstr>
      <vt:lpstr>ya_tdk</vt:lpstr>
      <vt:lpstr>ya_tdk_tdktahu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Bayu Putro</dc:creator>
  <cp:lastModifiedBy>Bayu Putro</cp:lastModifiedBy>
  <dcterms:created xsi:type="dcterms:W3CDTF">2024-10-18T02:09:19Z</dcterms:created>
  <dcterms:modified xsi:type="dcterms:W3CDTF">2025-09-25T04:11:24Z</dcterms:modified>
</cp:coreProperties>
</file>